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g\OneDrive\Desktop\Exams\"/>
    </mc:Choice>
  </mc:AlternateContent>
  <xr:revisionPtr revIDLastSave="0" documentId="8_{B1D69659-47CC-4B7B-A134-7998B78198A8}" xr6:coauthVersionLast="47" xr6:coauthVersionMax="47" xr10:uidLastSave="{00000000-0000-0000-0000-000000000000}"/>
  <bookViews>
    <workbookView xWindow="-110" yWindow="-110" windowWidth="19420" windowHeight="11500" firstSheet="3" activeTab="9" xr2:uid="{780C14AF-B019-4E12-B18B-3A462D82964C}"/>
  </bookViews>
  <sheets>
    <sheet name="Main Data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  <sheet name="Question 6" sheetId="7" r:id="rId7"/>
    <sheet name="Question 7" sheetId="8" r:id="rId8"/>
    <sheet name="Question 8" sheetId="9" r:id="rId9"/>
    <sheet name="Question 9" sheetId="10" r:id="rId10"/>
  </sheets>
  <definedNames>
    <definedName name="_xlnm._FilterDatabase" localSheetId="0" hidden="1">'Main Data'!$A$1:$J$351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53" i="5" l="1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</calcChain>
</file>

<file path=xl/sharedStrings.xml><?xml version="1.0" encoding="utf-8"?>
<sst xmlns="http://schemas.openxmlformats.org/spreadsheetml/2006/main" count="4282" uniqueCount="422">
  <si>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</si>
  <si>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</si>
  <si>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</si>
  <si>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</si>
  <si>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</si>
  <si>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</si>
  <si>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</si>
  <si>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</si>
  <si>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</si>
  <si>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</si>
  <si>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</si>
  <si>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</si>
  <si>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</si>
  <si>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</si>
  <si>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</si>
  <si>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</si>
  <si>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</si>
  <si>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</si>
  <si>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</si>
  <si>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</si>
  <si>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</si>
  <si>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</si>
  <si>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</si>
  <si>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</si>
  <si>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</si>
  <si>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</si>
  <si>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</si>
  <si>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</si>
  <si>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</si>
  <si>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</si>
  <si>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</si>
  <si>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</si>
  <si>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</si>
  <si>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</si>
  <si>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</si>
  <si>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</si>
  <si>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</si>
  <si>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</si>
  <si>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</si>
  <si>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</si>
  <si>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</si>
  <si>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</si>
  <si>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</si>
  <si>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</si>
  <si>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</si>
  <si>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</si>
  <si>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</si>
  <si>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</si>
  <si>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</si>
  <si>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</si>
  <si>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</si>
  <si>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</si>
  <si>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</si>
  <si>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</si>
  <si>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</si>
  <si>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</si>
  <si>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</si>
  <si>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</si>
  <si>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</si>
  <si>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</si>
  <si>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</si>
  <si>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</si>
  <si>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</si>
  <si>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</si>
  <si>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</si>
  <si>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</si>
  <si>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</si>
  <si>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</si>
  <si>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</si>
  <si>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</si>
  <si>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</si>
  <si>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</si>
  <si>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</si>
  <si>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</si>
  <si>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</si>
  <si>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</si>
  <si>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</si>
  <si>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</si>
  <si>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</si>
  <si>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</si>
  <si>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</si>
  <si>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</si>
  <si>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</si>
  <si>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</si>
  <si>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</si>
  <si>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</si>
  <si>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</si>
  <si>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</si>
  <si>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</si>
  <si>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</si>
  <si>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</si>
  <si>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</si>
  <si>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</si>
  <si>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</si>
  <si>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</si>
  <si>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</si>
  <si>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</si>
  <si>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</si>
  <si>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</si>
  <si>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</si>
  <si>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</si>
  <si>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</si>
  <si>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</si>
  <si>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</si>
  <si>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</si>
  <si>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</si>
  <si>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</si>
  <si>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</si>
  <si>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</si>
  <si>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</si>
  <si>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</si>
  <si>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</si>
  <si>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</si>
  <si>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</si>
  <si>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</si>
  <si>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</si>
  <si>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</si>
  <si>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</si>
  <si>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</si>
  <si>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</si>
  <si>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</si>
  <si>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</si>
  <si>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</si>
  <si>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</si>
  <si>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</si>
  <si>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</si>
  <si>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</si>
  <si>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</si>
  <si>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</si>
  <si>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</si>
  <si>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</si>
  <si>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</si>
  <si>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</si>
  <si>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</si>
  <si>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</si>
  <si>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</si>
  <si>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</si>
  <si>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</si>
  <si>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</si>
  <si>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</si>
  <si>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</si>
  <si>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</si>
  <si>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</si>
  <si>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</si>
  <si>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</si>
  <si>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</si>
  <si>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</si>
  <si>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</si>
  <si>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</si>
  <si>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</si>
  <si>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</si>
  <si>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</si>
  <si>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</si>
  <si>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</si>
  <si>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</si>
  <si>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</si>
  <si>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</si>
  <si>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</si>
  <si>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</si>
  <si>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</si>
  <si>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</si>
  <si>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</si>
  <si>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</si>
  <si>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</si>
  <si>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</si>
  <si>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</si>
  <si>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</si>
  <si>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</si>
  <si>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</si>
  <si>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</si>
  <si>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</si>
  <si>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</si>
  <si>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</si>
  <si>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</si>
  <si>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</si>
  <si>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</si>
  <si>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</si>
  <si>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</si>
  <si>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</si>
  <si>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</si>
  <si>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</si>
  <si>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</si>
  <si>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</si>
  <si>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</si>
  <si>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</si>
  <si>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</si>
  <si>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</si>
  <si>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</si>
  <si>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</si>
  <si>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</si>
  <si>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</si>
  <si>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</si>
  <si>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</si>
  <si>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</si>
  <si>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</si>
  <si>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</si>
  <si>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</si>
  <si>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</si>
  <si>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</si>
  <si>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</si>
  <si>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</si>
  <si>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</si>
  <si>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</si>
  <si>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</si>
  <si>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</si>
  <si>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</si>
  <si>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</si>
  <si>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</si>
  <si>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</si>
  <si>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</si>
  <si>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</si>
  <si>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</si>
  <si>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</si>
  <si>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</si>
  <si>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</si>
  <si>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</si>
  <si>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</si>
  <si>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</si>
  <si>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</si>
  <si>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</si>
  <si>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</si>
  <si>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</si>
  <si>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</si>
  <si>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</si>
  <si>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</si>
  <si>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</si>
  <si>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</si>
  <si>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</si>
  <si>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</si>
  <si>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</si>
  <si>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</si>
  <si>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</si>
  <si>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</si>
  <si>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</si>
  <si>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</si>
  <si>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</si>
  <si>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</si>
  <si>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</si>
  <si>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</si>
  <si>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</si>
  <si>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</si>
  <si>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</si>
  <si>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</si>
  <si>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</si>
  <si>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</si>
  <si>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</si>
  <si>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</si>
  <si>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</si>
  <si>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</si>
  <si>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</si>
  <si>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</si>
  <si>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</si>
  <si>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</si>
  <si>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</si>
  <si>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</si>
  <si>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</si>
  <si>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</si>
  <si>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</si>
  <si>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</si>
  <si>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</si>
  <si>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</si>
  <si>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</si>
  <si>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</si>
  <si>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</si>
  <si>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</si>
  <si>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</si>
  <si>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</si>
  <si>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</si>
  <si>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</si>
  <si>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</si>
  <si>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</si>
  <si>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</si>
  <si>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</si>
  <si>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</si>
  <si>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</si>
  <si>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</si>
  <si>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</si>
  <si>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</si>
  <si>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</si>
  <si>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</si>
  <si>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</si>
  <si>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</si>
  <si>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</si>
  <si>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</si>
  <si>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</si>
  <si>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</si>
  <si>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</si>
  <si>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</si>
  <si>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</si>
  <si>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</si>
  <si>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</si>
  <si>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</si>
  <si>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</si>
  <si>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</si>
  <si>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</si>
  <si>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</si>
  <si>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</si>
  <si>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</si>
  <si>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</si>
  <si>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</si>
  <si>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</si>
  <si>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</si>
  <si>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</si>
  <si>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</si>
  <si>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</si>
  <si>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</si>
  <si>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</si>
  <si>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</si>
  <si>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</si>
  <si>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</si>
  <si>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</si>
  <si>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</si>
  <si>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</si>
  <si>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</si>
  <si>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</si>
  <si>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</si>
  <si>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</si>
  <si>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</si>
  <si>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</si>
  <si>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</si>
  <si>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</si>
  <si>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</si>
  <si>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</si>
  <si>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</si>
  <si>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</si>
  <si>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</si>
  <si>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</si>
  <si>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</si>
  <si>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</si>
  <si>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</si>
  <si>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</si>
  <si>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</si>
  <si>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</si>
  <si>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</si>
  <si>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</si>
  <si>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</si>
  <si>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</si>
  <si>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</si>
  <si>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</si>
  <si>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</si>
  <si>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</si>
  <si>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</si>
  <si>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</si>
  <si>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</si>
  <si>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</si>
  <si>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</si>
  <si>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</si>
  <si>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</si>
  <si>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</si>
  <si>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</si>
  <si>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</si>
  <si>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</si>
  <si>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</si>
  <si>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</si>
  <si>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</si>
  <si>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</si>
  <si>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</si>
  <si>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</si>
  <si>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</si>
  <si>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</si>
  <si>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</si>
  <si>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</si>
  <si>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</si>
  <si>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</si>
  <si>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</si>
  <si>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</si>
  <si>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</si>
  <si>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</si>
  <si>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</si>
  <si>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</si>
  <si>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</si>
  <si>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</si>
  <si>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</si>
  <si>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</si>
  <si>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</si>
  <si>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</si>
  <si>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</si>
  <si>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</si>
  <si>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</si>
  <si>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 xml:space="preserve">Question:1 </t>
  </si>
  <si>
    <t>Use Copilot to identify and summarize missing values in the dataset</t>
  </si>
  <si>
    <t>Summary of Missing Values</t>
  </si>
  <si>
    <t>Column</t>
  </si>
  <si>
    <t>Missing Values Count</t>
  </si>
  <si>
    <t>Units Price</t>
  </si>
  <si>
    <t>Use Copilot to fill missing values in the Region and Category columns</t>
  </si>
  <si>
    <t>Question:2</t>
  </si>
  <si>
    <t>Order Id</t>
  </si>
  <si>
    <t>Prompt:</t>
  </si>
  <si>
    <t>Question:3</t>
  </si>
  <si>
    <t>Fill missing numeric values in the Units Sold and Unit Price columns</t>
  </si>
  <si>
    <t>Prompt</t>
  </si>
  <si>
    <t>Question:4</t>
  </si>
  <si>
    <t>Create a new calculated column Total Revenue</t>
  </si>
  <si>
    <t>Manually put formula</t>
  </si>
  <si>
    <t>Result got from Copilot</t>
  </si>
  <si>
    <t xml:space="preserve">Prompt </t>
  </si>
  <si>
    <t>Copilot Create a new calculated column Revenue Total</t>
  </si>
  <si>
    <t>Question:5</t>
  </si>
  <si>
    <t>Use Copilot to find the total price of Order ID = ‘ORD0123’.</t>
  </si>
  <si>
    <r>
      <t xml:space="preserve">For </t>
    </r>
    <r>
      <rPr>
        <b/>
        <sz val="11"/>
        <color theme="1"/>
        <rFont val="Calibri"/>
        <family val="2"/>
        <scheme val="minor"/>
      </rPr>
      <t>Order ID = ORD0123</t>
    </r>
    <r>
      <rPr>
        <sz val="11"/>
        <color theme="1"/>
        <rFont val="Calibri"/>
        <family val="2"/>
        <scheme val="minor"/>
      </rPr>
      <t>:</t>
    </r>
  </si>
  <si>
    <r>
      <t>Units Sold</t>
    </r>
    <r>
      <rPr>
        <sz val="11"/>
        <color theme="1"/>
        <rFont val="Calibri"/>
        <family val="2"/>
        <scheme val="minor"/>
      </rPr>
      <t xml:space="preserve"> = 46</t>
    </r>
  </si>
  <si>
    <r>
      <t>Unit Price</t>
    </r>
    <r>
      <rPr>
        <sz val="11"/>
        <color theme="1"/>
        <rFont val="Calibri"/>
        <family val="2"/>
        <scheme val="minor"/>
      </rPr>
      <t xml:space="preserve"> = 344.55</t>
    </r>
  </si>
  <si>
    <r>
      <t xml:space="preserve">👉 So, the </t>
    </r>
    <r>
      <rPr>
        <b/>
        <sz val="11"/>
        <color theme="1"/>
        <rFont val="Calibri"/>
        <family val="2"/>
        <scheme val="minor"/>
      </rPr>
      <t>total price (Revenue Total)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ORD0123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15,849.30</t>
    </r>
    <r>
      <rPr>
        <sz val="11"/>
        <color theme="1"/>
        <rFont val="Calibri"/>
        <family val="2"/>
        <scheme val="minor"/>
      </rPr>
      <t>.</t>
    </r>
  </si>
  <si>
    <r>
      <t xml:space="preserve">Would you like me to also calculate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for this order (Revenue – Units Sold × Unit Cost) so you can see how much margin it generated?</t>
    </r>
  </si>
  <si>
    <r>
      <t>Revenue Total</t>
    </r>
    <r>
      <rPr>
        <sz val="11"/>
        <color theme="1"/>
        <rFont val="Calibri"/>
        <family val="2"/>
        <scheme val="minor"/>
      </rPr>
      <t xml:space="preserve"> = 46 times 344.55=15,849.30</t>
    </r>
  </si>
  <si>
    <t>Question:6</t>
  </si>
  <si>
    <t>Use Copilot to generate a summary chart of average profit by region.</t>
  </si>
  <si>
    <t>Could you generate a summary chart of average profit by region refering to the given data</t>
  </si>
  <si>
    <t>Question:7</t>
  </si>
  <si>
    <t>Create a pivot table summarizing total sales by category and region</t>
  </si>
  <si>
    <t>Question: 8</t>
  </si>
  <si>
    <t>Build a dashboard combining key KPIs and charts.</t>
  </si>
  <si>
    <t>Question: 9</t>
  </si>
  <si>
    <t>Use Copilot to generate a summary report.</t>
  </si>
  <si>
    <t>Executive Summary</t>
  </si>
  <si>
    <r>
      <t>Total Revenue:</t>
    </r>
    <r>
      <rPr>
        <sz val="11"/>
        <color theme="1"/>
        <rFont val="Calibri"/>
        <family val="2"/>
        <scheme val="minor"/>
      </rPr>
      <t xml:space="preserve"> ₹22,363,726.46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</si>
  <si>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</si>
  <si>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</si>
  <si>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(₹4,244,627.19 across all regions)</t>
    </r>
  </si>
  <si>
    <t>Copilot could you please fill missing values in the Region and Category columns provide me proper data and provide me the table here.</t>
  </si>
  <si>
    <t>Copilot Fill missing numeric values in the Units Sold and Unit Price columns refering to the given data and provide me the proper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</si>
</sst>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vertical="top"/>
    </xf>
    <xf numFmtId="164" fontId="0" fillId="0" borderId="4" xfId="0" applyNumberFormat="1" applyBorder="1"/>
    <xf numFmtId="0" fontId="1" fillId="2" borderId="4" xfId="0" applyFont="1" applyFill="1" applyBorder="1" applyAlignment="1">
      <alignment horizontal="center" vertical="top"/>
    </xf>
    <xf numFmtId="0" fontId="0" fillId="2" borderId="4" xfId="0" applyFill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403860</xdr:colOff>
      <xdr:row>1</xdr:row>
      <xdr:rowOff>24970</xdr:rowOff>
    </xdr:from>
    <xdr:to>
      <xdr:col>14</xdr:col>
      <xdr:colOff>469840</xdr:colOff>
      <xdr:row>20</xdr:row>
      <xdr:rowOff>7039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59C97-231C-8AE2-E0AD-6A747200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314530"/>
          <a:ext cx="6161980" cy="3507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465218</xdr:colOff>
      <xdr:row>0</xdr:row>
      <xdr:rowOff>236220</xdr:rowOff>
    </xdr:from>
    <xdr:to>
      <xdr:col>14</xdr:col>
      <xdr:colOff>330779</xdr:colOff>
      <xdr:row>18</xdr:row>
      <xdr:rowOff>39829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2C14A-91CB-941D-54A8-CFCD85650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638" y="236220"/>
          <a:ext cx="4132761" cy="3725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349990</xdr:colOff>
      <xdr:row>2</xdr:row>
      <xdr:rowOff>121920</xdr:rowOff>
    </xdr:from>
    <xdr:to>
      <xdr:col>25</xdr:col>
      <xdr:colOff>457200</xdr:colOff>
      <xdr:row>17</xdr:row>
      <xdr:rowOff>165722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52A9F-1E3A-B300-28D7-DC78E8B73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990" y="594360"/>
          <a:ext cx="6203210" cy="30702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3440</xdr:rowOff>
    </xdr:from>
    <xdr:to>
      <xdr:col>1</xdr:col>
      <xdr:colOff>3234694</xdr:colOff>
      <xdr:row>14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693C3-9040-15C0-C26C-F958EDA4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024520"/>
          <a:ext cx="4400554" cy="1703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7</xdr:row>
      <xdr:rowOff>56563</xdr:rowOff>
    </xdr:from>
    <xdr:to>
      <xdr:col>1</xdr:col>
      <xdr:colOff>3810001</xdr:colOff>
      <xdr:row>24</xdr:row>
      <xdr:rowOff>151371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792E1-D9D3-6B7F-3ECE-27627847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1" y="1443403"/>
          <a:ext cx="4861560" cy="320376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2</xdr:row>
      <xdr:rowOff>32004</xdr:rowOff>
    </xdr:from>
    <xdr:to>
      <xdr:col>13</xdr:col>
      <xdr:colOff>266700</xdr:colOff>
      <xdr:row>22</xdr:row>
      <xdr:rowOff>82550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89CD4-F654-8C3E-2B49-4C9860CF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504444"/>
          <a:ext cx="6652260" cy="39913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2</xdr:row>
      <xdr:rowOff>7620</xdr:rowOff>
    </xdr:from>
    <xdr:to>
      <xdr:col>1</xdr:col>
      <xdr:colOff>3865337</xdr:colOff>
      <xdr:row>23</xdr:row>
      <xdr:rowOff>42982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54695-8C2D-5961-D4C9-A036B439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480060"/>
          <a:ext cx="4962617" cy="38758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259080</xdr:colOff>
      <xdr:row>3</xdr:row>
      <xdr:rowOff>53340</xdr:rowOff>
    </xdr:from>
    <xdr:to>
      <xdr:col>15</xdr:col>
      <xdr:colOff>259095</xdr:colOff>
      <xdr:row>27</xdr:row>
      <xdr:rowOff>53349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259DA2CD-8370-43E0-AB26-63B0AA02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708660"/>
          <a:ext cx="7315215" cy="43891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38100</xdr:rowOff>
    </xdr:from>
    <xdr:to>
      <xdr:col>3</xdr:col>
      <xdr:colOff>99071</xdr:colOff>
      <xdr:row>32</xdr:row>
      <xdr:rowOff>7631</xdr:rowOff>
    </xdr:to>
    <xdr:pic>
      <xdr:nvPicPr>
        <xdr:cNvPr id="3" name="Picture 2" descr="revenue_by_category_pie.png">
          <a:extLst>
            <a:ext uri="{FF2B5EF4-FFF2-40B4-BE49-F238E27FC236}">
              <a16:creationId xmlns:a16="http://schemas.microsoft.com/office/drawing/2014/main" id="{AC59AC0B-2D8F-494A-BDF0-C1B80EBDE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20"/>
          <a:ext cx="5486411" cy="5273051"/>
        </a:xfrm>
        <a:prstGeom prst="rect">
          <a:avLst/>
        </a:prstGeom>
      </xdr:spPr>
    </xdr:pic>
    <xdr:clientData/>
  </xdr:twoCellAnchor>
  <xdr:twoCellAnchor editAs="oneCell">
    <xdr:from>
      <xdr:col>16</xdr:col>
      <xdr:colOff>388576</xdr:colOff>
      <xdr:row>2</xdr:row>
      <xdr:rowOff>137160</xdr:rowOff>
    </xdr:from>
    <xdr:to>
      <xdr:col>25</xdr:col>
      <xdr:colOff>248839</xdr:colOff>
      <xdr:row>25</xdr:row>
      <xdr:rowOff>69500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7CC69-6E11-1DA2-CE5B-B8A01F91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00716" y="609600"/>
          <a:ext cx="5346663" cy="4138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800D-BCF0-4888-A5A3-382CBE7E63A3}">
  <dimension ref="A1:J351"/>
  <sheetViews>
    <sheetView workbookViewId="0">
      <selection activeCell="F6" sqref="F6"/>
    </sheetView>
  </sheetViews>
  <sheetFormatPr defaultRowHeight="14.5" x14ac:dyDescent="0.35"/>
  <cols>
    <col min="1" max="1" width="8.6328125" bestFit="1" customWidth="1"/>
    <col min="2" max="2" width="6.81640625" bestFit="1" customWidth="1"/>
    <col min="3" max="3" width="8.36328125" bestFit="1" customWidth="1"/>
    <col min="4" max="4" width="8.54296875" bestFit="1" customWidth="1"/>
    <col min="5" max="5" width="7.90625" bestFit="1" customWidth="1"/>
    <col min="6" max="6" width="7.6328125" bestFit="1" customWidth="1"/>
    <col min="7" max="7" width="15.453125" bestFit="1" customWidth="1"/>
    <col min="8" max="8" width="5.36328125" bestFit="1" customWidth="1"/>
    <col min="9" max="9" width="6.54296875" bestFit="1" customWidth="1"/>
    <col min="10" max="10" width="8.6328125" bestFit="1" customWidth="1"/>
  </cols>
  <sheetData>
    <row r="1" spans="1:10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.5" thickBot="1" x14ac:dyDescent="0.4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" thickBot="1" x14ac:dyDescent="0.4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" thickBot="1" x14ac:dyDescent="0.4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29.5" thickBot="1" x14ac:dyDescent="0.4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29.5" thickBot="1" x14ac:dyDescent="0.4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" thickBot="1" x14ac:dyDescent="0.4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29.5" thickBot="1" x14ac:dyDescent="0.4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29.5" thickBot="1" x14ac:dyDescent="0.4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29.5" thickBot="1" x14ac:dyDescent="0.4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29.5" thickBot="1" x14ac:dyDescent="0.4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" thickBot="1" x14ac:dyDescent="0.4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29.5" thickBot="1" x14ac:dyDescent="0.4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29.5" thickBot="1" x14ac:dyDescent="0.4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" thickBot="1" x14ac:dyDescent="0.4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29.5" thickBot="1" x14ac:dyDescent="0.4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29.5" thickBot="1" x14ac:dyDescent="0.4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29.5" thickBot="1" x14ac:dyDescent="0.4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29.5" thickBot="1" x14ac:dyDescent="0.4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29.5" thickBot="1" x14ac:dyDescent="0.4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" thickBot="1" x14ac:dyDescent="0.4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29.5" thickBot="1" x14ac:dyDescent="0.4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" thickBot="1" x14ac:dyDescent="0.4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29.5" thickBot="1" x14ac:dyDescent="0.4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29.5" thickBot="1" x14ac:dyDescent="0.4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29.5" thickBot="1" x14ac:dyDescent="0.4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29.5" thickBot="1" x14ac:dyDescent="0.4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29.5" thickBot="1" x14ac:dyDescent="0.4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29.5" thickBot="1" x14ac:dyDescent="0.4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29.5" thickBot="1" x14ac:dyDescent="0.4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29.5" thickBot="1" x14ac:dyDescent="0.4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29.5" thickBot="1" x14ac:dyDescent="0.4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29.5" thickBot="1" x14ac:dyDescent="0.4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29.5" thickBot="1" x14ac:dyDescent="0.4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" thickBot="1" x14ac:dyDescent="0.4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29.5" thickBot="1" x14ac:dyDescent="0.4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29.5" thickBot="1" x14ac:dyDescent="0.4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" thickBot="1" x14ac:dyDescent="0.4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29.5" thickBot="1" x14ac:dyDescent="0.4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" thickBot="1" x14ac:dyDescent="0.4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" thickBot="1" x14ac:dyDescent="0.4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29.5" thickBot="1" x14ac:dyDescent="0.4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" thickBot="1" x14ac:dyDescent="0.4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29.5" thickBot="1" x14ac:dyDescent="0.4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29.5" thickBot="1" x14ac:dyDescent="0.4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29.5" thickBot="1" x14ac:dyDescent="0.4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29.5" thickBot="1" x14ac:dyDescent="0.4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29.5" thickBot="1" x14ac:dyDescent="0.4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29.5" thickBot="1" x14ac:dyDescent="0.4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" thickBot="1" x14ac:dyDescent="0.4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29.5" thickBot="1" x14ac:dyDescent="0.4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29.5" thickBot="1" x14ac:dyDescent="0.4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" thickBot="1" x14ac:dyDescent="0.4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29.5" thickBot="1" x14ac:dyDescent="0.4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29.5" thickBot="1" x14ac:dyDescent="0.4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29.5" thickBot="1" x14ac:dyDescent="0.4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29.5" thickBot="1" x14ac:dyDescent="0.4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29.5" thickBot="1" x14ac:dyDescent="0.4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29.5" thickBot="1" x14ac:dyDescent="0.4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" thickBot="1" x14ac:dyDescent="0.4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29.5" thickBot="1" x14ac:dyDescent="0.4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29.5" thickBot="1" x14ac:dyDescent="0.4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" thickBot="1" x14ac:dyDescent="0.4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" thickBot="1" x14ac:dyDescent="0.4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29.5" thickBot="1" x14ac:dyDescent="0.4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29.5" thickBot="1" x14ac:dyDescent="0.4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29.5" thickBot="1" x14ac:dyDescent="0.4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29.5" thickBot="1" x14ac:dyDescent="0.4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29.5" thickBot="1" x14ac:dyDescent="0.4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29.5" thickBot="1" x14ac:dyDescent="0.4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29.5" thickBot="1" x14ac:dyDescent="0.4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29.5" thickBot="1" x14ac:dyDescent="0.4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" thickBot="1" x14ac:dyDescent="0.4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29.5" thickBot="1" x14ac:dyDescent="0.4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" thickBot="1" x14ac:dyDescent="0.4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29.5" thickBot="1" x14ac:dyDescent="0.4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29.5" thickBot="1" x14ac:dyDescent="0.4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29.5" thickBot="1" x14ac:dyDescent="0.4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29.5" thickBot="1" x14ac:dyDescent="0.4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" thickBot="1" x14ac:dyDescent="0.4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" thickBot="1" x14ac:dyDescent="0.4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29.5" thickBot="1" x14ac:dyDescent="0.4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29.5" thickBot="1" x14ac:dyDescent="0.4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" thickBot="1" x14ac:dyDescent="0.4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" thickBot="1" x14ac:dyDescent="0.4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29.5" thickBot="1" x14ac:dyDescent="0.4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" thickBot="1" x14ac:dyDescent="0.4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29.5" thickBot="1" x14ac:dyDescent="0.4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29.5" thickBot="1" x14ac:dyDescent="0.4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29.5" thickBot="1" x14ac:dyDescent="0.4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29.5" thickBot="1" x14ac:dyDescent="0.4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29.5" thickBot="1" x14ac:dyDescent="0.4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29.5" thickBot="1" x14ac:dyDescent="0.4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" thickBot="1" x14ac:dyDescent="0.4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29.5" thickBot="1" x14ac:dyDescent="0.4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" thickBot="1" x14ac:dyDescent="0.4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29.5" thickBot="1" x14ac:dyDescent="0.4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29.5" thickBot="1" x14ac:dyDescent="0.4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" thickBot="1" x14ac:dyDescent="0.4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29.5" thickBot="1" x14ac:dyDescent="0.4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29.5" thickBot="1" x14ac:dyDescent="0.4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29.5" thickBot="1" x14ac:dyDescent="0.4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" thickBot="1" x14ac:dyDescent="0.4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29.5" thickBot="1" x14ac:dyDescent="0.4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" thickBot="1" x14ac:dyDescent="0.4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29.5" thickBot="1" x14ac:dyDescent="0.4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29.5" thickBot="1" x14ac:dyDescent="0.4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29.5" thickBot="1" x14ac:dyDescent="0.4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29.5" thickBot="1" x14ac:dyDescent="0.4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29.5" thickBot="1" x14ac:dyDescent="0.4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29.5" thickBot="1" x14ac:dyDescent="0.4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29.5" thickBot="1" x14ac:dyDescent="0.4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29.5" thickBot="1" x14ac:dyDescent="0.4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29.5" thickBot="1" x14ac:dyDescent="0.4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29.5" thickBot="1" x14ac:dyDescent="0.4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29.5" thickBot="1" x14ac:dyDescent="0.4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" thickBot="1" x14ac:dyDescent="0.4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" thickBot="1" x14ac:dyDescent="0.4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29.5" thickBot="1" x14ac:dyDescent="0.4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29.5" thickBot="1" x14ac:dyDescent="0.4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29.5" thickBot="1" x14ac:dyDescent="0.4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29.5" thickBot="1" x14ac:dyDescent="0.4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29.5" thickBot="1" x14ac:dyDescent="0.4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29.5" thickBot="1" x14ac:dyDescent="0.4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29.5" thickBot="1" x14ac:dyDescent="0.4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29.5" thickBot="1" x14ac:dyDescent="0.4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29.5" thickBot="1" x14ac:dyDescent="0.4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29.5" thickBot="1" x14ac:dyDescent="0.4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29.5" thickBot="1" x14ac:dyDescent="0.4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" thickBot="1" x14ac:dyDescent="0.4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" thickBot="1" x14ac:dyDescent="0.4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" thickBot="1" x14ac:dyDescent="0.4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" thickBot="1" x14ac:dyDescent="0.4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" thickBot="1" x14ac:dyDescent="0.4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" thickBot="1" x14ac:dyDescent="0.4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" thickBot="1" x14ac:dyDescent="0.4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29.5" thickBot="1" x14ac:dyDescent="0.4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29.5" thickBot="1" x14ac:dyDescent="0.4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29.5" thickBot="1" x14ac:dyDescent="0.4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" thickBot="1" x14ac:dyDescent="0.4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29.5" thickBot="1" x14ac:dyDescent="0.4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29.5" thickBot="1" x14ac:dyDescent="0.4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29.5" thickBot="1" x14ac:dyDescent="0.4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29.5" thickBot="1" x14ac:dyDescent="0.4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29.5" thickBot="1" x14ac:dyDescent="0.4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29.5" thickBot="1" x14ac:dyDescent="0.4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29.5" thickBot="1" x14ac:dyDescent="0.4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" thickBot="1" x14ac:dyDescent="0.4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29.5" thickBot="1" x14ac:dyDescent="0.4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" thickBot="1" x14ac:dyDescent="0.4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29.5" thickBot="1" x14ac:dyDescent="0.4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" thickBot="1" x14ac:dyDescent="0.4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29.5" thickBot="1" x14ac:dyDescent="0.4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" thickBot="1" x14ac:dyDescent="0.4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29.5" thickBot="1" x14ac:dyDescent="0.4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29.5" thickBot="1" x14ac:dyDescent="0.4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" thickBot="1" x14ac:dyDescent="0.4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" thickBot="1" x14ac:dyDescent="0.4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29.5" thickBot="1" x14ac:dyDescent="0.4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29.5" thickBot="1" x14ac:dyDescent="0.4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29.5" thickBot="1" x14ac:dyDescent="0.4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" thickBot="1" x14ac:dyDescent="0.4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" thickBot="1" x14ac:dyDescent="0.4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29.5" thickBot="1" x14ac:dyDescent="0.4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29.5" thickBot="1" x14ac:dyDescent="0.4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29.5" thickBot="1" x14ac:dyDescent="0.4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29.5" thickBot="1" x14ac:dyDescent="0.4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29.5" thickBot="1" x14ac:dyDescent="0.4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29.5" thickBot="1" x14ac:dyDescent="0.4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29.5" thickBot="1" x14ac:dyDescent="0.4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29.5" thickBot="1" x14ac:dyDescent="0.4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" thickBot="1" x14ac:dyDescent="0.4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" thickBot="1" x14ac:dyDescent="0.4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29.5" thickBot="1" x14ac:dyDescent="0.4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" thickBot="1" x14ac:dyDescent="0.4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29.5" thickBot="1" x14ac:dyDescent="0.4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29.5" thickBot="1" x14ac:dyDescent="0.4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29.5" thickBot="1" x14ac:dyDescent="0.4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29.5" thickBot="1" x14ac:dyDescent="0.4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" thickBot="1" x14ac:dyDescent="0.4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" thickBot="1" x14ac:dyDescent="0.4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" thickBot="1" x14ac:dyDescent="0.4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29.5" thickBot="1" x14ac:dyDescent="0.4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" thickBot="1" x14ac:dyDescent="0.4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29.5" thickBot="1" x14ac:dyDescent="0.4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29.5" thickBot="1" x14ac:dyDescent="0.4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29.5" thickBot="1" x14ac:dyDescent="0.4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29.5" thickBot="1" x14ac:dyDescent="0.4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29.5" thickBot="1" x14ac:dyDescent="0.4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" thickBot="1" x14ac:dyDescent="0.4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29.5" thickBot="1" x14ac:dyDescent="0.4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29.5" thickBot="1" x14ac:dyDescent="0.4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29.5" thickBot="1" x14ac:dyDescent="0.4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29.5" thickBot="1" x14ac:dyDescent="0.4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" thickBot="1" x14ac:dyDescent="0.4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" thickBot="1" x14ac:dyDescent="0.4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29.5" thickBot="1" x14ac:dyDescent="0.4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29.5" thickBot="1" x14ac:dyDescent="0.4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" thickBot="1" x14ac:dyDescent="0.4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29.5" thickBot="1" x14ac:dyDescent="0.4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" thickBot="1" x14ac:dyDescent="0.4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29.5" thickBot="1" x14ac:dyDescent="0.4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29.5" thickBot="1" x14ac:dyDescent="0.4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29.5" thickBot="1" x14ac:dyDescent="0.4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29.5" thickBot="1" x14ac:dyDescent="0.4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29.5" thickBot="1" x14ac:dyDescent="0.4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" thickBot="1" x14ac:dyDescent="0.4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29.5" thickBot="1" x14ac:dyDescent="0.4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" thickBot="1" x14ac:dyDescent="0.4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29.5" thickBot="1" x14ac:dyDescent="0.4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" thickBot="1" x14ac:dyDescent="0.4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29.5" thickBot="1" x14ac:dyDescent="0.4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" thickBot="1" x14ac:dyDescent="0.4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29.5" thickBot="1" x14ac:dyDescent="0.4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" thickBot="1" x14ac:dyDescent="0.4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29.5" thickBot="1" x14ac:dyDescent="0.4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29.5" thickBot="1" x14ac:dyDescent="0.4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" thickBot="1" x14ac:dyDescent="0.4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29.5" thickBot="1" x14ac:dyDescent="0.4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29.5" thickBot="1" x14ac:dyDescent="0.4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" thickBot="1" x14ac:dyDescent="0.4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" thickBot="1" x14ac:dyDescent="0.4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29.5" thickBot="1" x14ac:dyDescent="0.4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29.5" thickBot="1" x14ac:dyDescent="0.4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" thickBot="1" x14ac:dyDescent="0.4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29.5" thickBot="1" x14ac:dyDescent="0.4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" thickBot="1" x14ac:dyDescent="0.4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" thickBot="1" x14ac:dyDescent="0.4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29.5" thickBot="1" x14ac:dyDescent="0.4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29.5" thickBot="1" x14ac:dyDescent="0.4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29.5" thickBot="1" x14ac:dyDescent="0.4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" thickBot="1" x14ac:dyDescent="0.4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" thickBot="1" x14ac:dyDescent="0.4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29.5" thickBot="1" x14ac:dyDescent="0.4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29.5" thickBot="1" x14ac:dyDescent="0.4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29.5" thickBot="1" x14ac:dyDescent="0.4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" thickBot="1" x14ac:dyDescent="0.4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29.5" thickBot="1" x14ac:dyDescent="0.4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29.5" thickBot="1" x14ac:dyDescent="0.4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" thickBot="1" x14ac:dyDescent="0.4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29.5" thickBot="1" x14ac:dyDescent="0.4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" thickBot="1" x14ac:dyDescent="0.4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29.5" thickBot="1" x14ac:dyDescent="0.4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29.5" thickBot="1" x14ac:dyDescent="0.4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29.5" thickBot="1" x14ac:dyDescent="0.4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" thickBot="1" x14ac:dyDescent="0.4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29.5" thickBot="1" x14ac:dyDescent="0.4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29.5" thickBot="1" x14ac:dyDescent="0.4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" thickBot="1" x14ac:dyDescent="0.4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29.5" thickBot="1" x14ac:dyDescent="0.4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29.5" thickBot="1" x14ac:dyDescent="0.4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29.5" thickBot="1" x14ac:dyDescent="0.4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29.5" thickBot="1" x14ac:dyDescent="0.4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29.5" thickBot="1" x14ac:dyDescent="0.4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29.5" thickBot="1" x14ac:dyDescent="0.4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29.5" thickBot="1" x14ac:dyDescent="0.4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" thickBot="1" x14ac:dyDescent="0.4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" thickBot="1" x14ac:dyDescent="0.4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29.5" thickBot="1" x14ac:dyDescent="0.4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29.5" thickBot="1" x14ac:dyDescent="0.4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29.5" thickBot="1" x14ac:dyDescent="0.4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29.5" thickBot="1" x14ac:dyDescent="0.4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" thickBot="1" x14ac:dyDescent="0.4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29.5" thickBot="1" x14ac:dyDescent="0.4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" thickBot="1" x14ac:dyDescent="0.4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29.5" thickBot="1" x14ac:dyDescent="0.4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29.5" thickBot="1" x14ac:dyDescent="0.4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29.5" thickBot="1" x14ac:dyDescent="0.4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29.5" thickBot="1" x14ac:dyDescent="0.4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29.5" thickBot="1" x14ac:dyDescent="0.4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" thickBot="1" x14ac:dyDescent="0.4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" thickBot="1" x14ac:dyDescent="0.4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29.5" thickBot="1" x14ac:dyDescent="0.4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" thickBot="1" x14ac:dyDescent="0.4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29.5" thickBot="1" x14ac:dyDescent="0.4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29.5" thickBot="1" x14ac:dyDescent="0.4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29.5" thickBot="1" x14ac:dyDescent="0.4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29.5" thickBot="1" x14ac:dyDescent="0.4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29.5" thickBot="1" x14ac:dyDescent="0.4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29.5" thickBot="1" x14ac:dyDescent="0.4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" thickBot="1" x14ac:dyDescent="0.4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29.5" thickBot="1" x14ac:dyDescent="0.4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29.5" thickBot="1" x14ac:dyDescent="0.4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" thickBot="1" x14ac:dyDescent="0.4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29.5" thickBot="1" x14ac:dyDescent="0.4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29.5" thickBot="1" x14ac:dyDescent="0.4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29.5" thickBot="1" x14ac:dyDescent="0.4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" thickBot="1" x14ac:dyDescent="0.4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" thickBot="1" x14ac:dyDescent="0.4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29.5" thickBot="1" x14ac:dyDescent="0.4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29.5" thickBot="1" x14ac:dyDescent="0.4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29.5" thickBot="1" x14ac:dyDescent="0.4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29.5" thickBot="1" x14ac:dyDescent="0.4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29.5" thickBot="1" x14ac:dyDescent="0.4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29.5" thickBot="1" x14ac:dyDescent="0.4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29.5" thickBot="1" x14ac:dyDescent="0.4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" thickBot="1" x14ac:dyDescent="0.4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29.5" thickBot="1" x14ac:dyDescent="0.4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29.5" thickBot="1" x14ac:dyDescent="0.4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29.5" thickBot="1" x14ac:dyDescent="0.4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" thickBot="1" x14ac:dyDescent="0.4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29.5" thickBot="1" x14ac:dyDescent="0.4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" thickBot="1" x14ac:dyDescent="0.4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29.5" thickBot="1" x14ac:dyDescent="0.4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29.5" thickBot="1" x14ac:dyDescent="0.4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" thickBot="1" x14ac:dyDescent="0.4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29.5" thickBot="1" x14ac:dyDescent="0.4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" thickBot="1" x14ac:dyDescent="0.4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29.5" thickBot="1" x14ac:dyDescent="0.4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29.5" thickBot="1" x14ac:dyDescent="0.4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29.5" thickBot="1" x14ac:dyDescent="0.4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29.5" thickBot="1" x14ac:dyDescent="0.4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29.5" thickBot="1" x14ac:dyDescent="0.4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29.5" thickBot="1" x14ac:dyDescent="0.4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" thickBot="1" x14ac:dyDescent="0.4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29.5" thickBot="1" x14ac:dyDescent="0.4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29.5" thickBot="1" x14ac:dyDescent="0.4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" thickBot="1" x14ac:dyDescent="0.4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29.5" thickBot="1" x14ac:dyDescent="0.4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" thickBot="1" x14ac:dyDescent="0.4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" thickBot="1" x14ac:dyDescent="0.4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29.5" thickBot="1" x14ac:dyDescent="0.4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29.5" thickBot="1" x14ac:dyDescent="0.4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29.5" thickBot="1" x14ac:dyDescent="0.4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" thickBot="1" x14ac:dyDescent="0.4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29.5" thickBot="1" x14ac:dyDescent="0.4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29.5" thickBot="1" x14ac:dyDescent="0.4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29.5" thickBot="1" x14ac:dyDescent="0.4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29.5" thickBot="1" x14ac:dyDescent="0.4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29.5" thickBot="1" x14ac:dyDescent="0.4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29.5" thickBot="1" x14ac:dyDescent="0.4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29.5" thickBot="1" x14ac:dyDescent="0.4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29.5" thickBot="1" x14ac:dyDescent="0.4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" thickBot="1" x14ac:dyDescent="0.4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29.5" thickBot="1" x14ac:dyDescent="0.4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29.5" thickBot="1" x14ac:dyDescent="0.4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29.5" thickBot="1" x14ac:dyDescent="0.4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" thickBot="1" x14ac:dyDescent="0.4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" thickBot="1" x14ac:dyDescent="0.4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" thickBot="1" x14ac:dyDescent="0.4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29.5" thickBot="1" x14ac:dyDescent="0.4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" thickBot="1" x14ac:dyDescent="0.4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29.5" thickBot="1" x14ac:dyDescent="0.4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29.5" thickBot="1" x14ac:dyDescent="0.4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" thickBot="1" x14ac:dyDescent="0.4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" thickBot="1" x14ac:dyDescent="0.4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" thickBot="1" x14ac:dyDescent="0.4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29.5" thickBot="1" x14ac:dyDescent="0.4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29.5" thickBot="1" x14ac:dyDescent="0.4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29.5" thickBot="1" x14ac:dyDescent="0.4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" thickBot="1" x14ac:dyDescent="0.4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135F-56B0-46B5-B3C0-A5A9DFB4DD24}">
  <dimension ref="A1:D11"/>
  <sheetViews>
    <sheetView workbookViewId="0">
      <selection activeCell="B22" sqref="B22"/>
    </sheetView>
  </sheetViews>
  <sheetFormatPr defaultRowHeight="14.5" x14ac:dyDescent="0.35"/>
  <cols>
    <col min="1" max="1" width="19.08984375" bestFit="1" customWidth="1"/>
    <col min="2" max="2" width="63.08984375" customWidth="1"/>
    <col min="3" max="3" width="9.6328125" bestFit="1" customWidth="1"/>
    <col min="4" max="4" width="18.36328125" bestFit="1" customWidth="1"/>
  </cols>
  <sheetData>
    <row r="1" spans="1:4" ht="23" x14ac:dyDescent="0.5">
      <c r="A1" s="6" t="s">
        <v>379</v>
      </c>
      <c r="B1" s="19" t="s">
        <v>380</v>
      </c>
    </row>
    <row r="5" spans="1:4" ht="18.5" x14ac:dyDescent="0.45">
      <c r="B5" s="20" t="s">
        <v>381</v>
      </c>
      <c r="C5" s="11" t="s">
        <v>382</v>
      </c>
      <c r="D5" s="11" t="s">
        <v>383</v>
      </c>
    </row>
    <row r="6" spans="1:4" x14ac:dyDescent="0.35">
      <c r="C6" s="10" t="s">
        <v>1</v>
      </c>
      <c r="D6" s="10">
        <v>10</v>
      </c>
    </row>
    <row r="7" spans="1:4" x14ac:dyDescent="0.35">
      <c r="B7" s="8"/>
      <c r="C7" s="10" t="s">
        <v>3</v>
      </c>
      <c r="D7" s="10">
        <v>10</v>
      </c>
    </row>
    <row r="8" spans="1:4" x14ac:dyDescent="0.35">
      <c r="B8" s="9"/>
      <c r="C8" s="10" t="s">
        <v>7</v>
      </c>
      <c r="D8" s="10">
        <v>10</v>
      </c>
    </row>
    <row r="9" spans="1:4" x14ac:dyDescent="0.35">
      <c r="B9" s="9"/>
      <c r="C9" s="10" t="s">
        <v>384</v>
      </c>
      <c r="D9" s="10">
        <v>10</v>
      </c>
    </row>
    <row r="10" spans="1:4" x14ac:dyDescent="0.35">
      <c r="B10" s="9"/>
    </row>
    <row r="11" spans="1:4" x14ac:dyDescent="0.35">
      <c r="B11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CCC7-3725-4988-8BF3-64001A20522A}">
  <dimension ref="A1:E14"/>
  <sheetViews>
    <sheetView workbookViewId="0">
      <selection activeCell="B6" sqref="B6"/>
    </sheetView>
  </sheetViews>
  <sheetFormatPr defaultRowHeight="14.5" x14ac:dyDescent="0.35"/>
  <cols>
    <col min="1" max="1" width="19.08984375" bestFit="1" customWidth="1"/>
    <col min="2" max="2" width="57.6328125" bestFit="1" customWidth="1"/>
    <col min="5" max="5" width="9.90625" bestFit="1" customWidth="1"/>
  </cols>
  <sheetData>
    <row r="1" spans="1:5" ht="23" x14ac:dyDescent="0.5">
      <c r="A1" s="6" t="s">
        <v>386</v>
      </c>
      <c r="B1" s="19" t="s">
        <v>385</v>
      </c>
    </row>
    <row r="4" spans="1:5" x14ac:dyDescent="0.35">
      <c r="C4" s="11" t="s">
        <v>387</v>
      </c>
      <c r="D4" s="11" t="s">
        <v>1</v>
      </c>
      <c r="E4" s="11" t="s">
        <v>3</v>
      </c>
    </row>
    <row r="5" spans="1:5" x14ac:dyDescent="0.35">
      <c r="C5" s="12" t="s">
        <v>35</v>
      </c>
      <c r="D5" s="10" t="s">
        <v>11</v>
      </c>
      <c r="E5" s="10" t="s">
        <v>27</v>
      </c>
    </row>
    <row r="6" spans="1:5" ht="55.5" x14ac:dyDescent="0.45">
      <c r="A6" s="20" t="s">
        <v>388</v>
      </c>
      <c r="B6" s="21" t="s">
        <v>420</v>
      </c>
      <c r="C6" s="12" t="s">
        <v>44</v>
      </c>
      <c r="D6" s="10" t="s">
        <v>22</v>
      </c>
      <c r="E6" s="10" t="s">
        <v>23</v>
      </c>
    </row>
    <row r="7" spans="1:5" x14ac:dyDescent="0.35">
      <c r="C7" s="12" t="s">
        <v>59</v>
      </c>
      <c r="D7" s="10" t="s">
        <v>22</v>
      </c>
      <c r="E7" s="10" t="s">
        <v>13</v>
      </c>
    </row>
    <row r="8" spans="1:5" x14ac:dyDescent="0.35">
      <c r="C8" s="12" t="s">
        <v>78</v>
      </c>
      <c r="D8" s="10" t="s">
        <v>11</v>
      </c>
      <c r="E8" s="10" t="s">
        <v>19</v>
      </c>
    </row>
    <row r="9" spans="1:5" x14ac:dyDescent="0.35">
      <c r="C9" s="12" t="s">
        <v>92</v>
      </c>
      <c r="D9" s="10" t="s">
        <v>11</v>
      </c>
      <c r="E9" s="10" t="s">
        <v>13</v>
      </c>
    </row>
    <row r="10" spans="1:5" x14ac:dyDescent="0.35">
      <c r="C10" s="12" t="s">
        <v>146</v>
      </c>
      <c r="D10" s="10" t="s">
        <v>11</v>
      </c>
      <c r="E10" s="10" t="s">
        <v>23</v>
      </c>
    </row>
    <row r="11" spans="1:5" x14ac:dyDescent="0.35">
      <c r="C11" s="12" t="s">
        <v>150</v>
      </c>
      <c r="D11" s="10" t="s">
        <v>11</v>
      </c>
      <c r="E11" s="10" t="s">
        <v>42</v>
      </c>
    </row>
    <row r="12" spans="1:5" x14ac:dyDescent="0.35">
      <c r="C12" s="12" t="s">
        <v>250</v>
      </c>
      <c r="D12" s="10" t="s">
        <v>11</v>
      </c>
      <c r="E12" s="10" t="s">
        <v>42</v>
      </c>
    </row>
    <row r="13" spans="1:5" x14ac:dyDescent="0.35">
      <c r="C13" s="12" t="s">
        <v>360</v>
      </c>
      <c r="D13" s="10" t="s">
        <v>22</v>
      </c>
      <c r="E13" s="10" t="s">
        <v>42</v>
      </c>
    </row>
    <row r="14" spans="1:5" x14ac:dyDescent="0.35">
      <c r="C14" s="12" t="s">
        <v>375</v>
      </c>
      <c r="D14" s="10" t="s">
        <v>11</v>
      </c>
      <c r="E14" s="10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5AAF-71CF-4842-8D32-918AC6EABEC1}">
  <dimension ref="A1:E14"/>
  <sheetViews>
    <sheetView workbookViewId="0">
      <selection activeCell="B14" sqref="B14"/>
    </sheetView>
  </sheetViews>
  <sheetFormatPr defaultRowHeight="14.5" x14ac:dyDescent="0.35"/>
  <cols>
    <col min="1" max="1" width="18.36328125" bestFit="1" customWidth="1"/>
    <col min="2" max="2" width="60.1796875" customWidth="1"/>
  </cols>
  <sheetData>
    <row r="1" spans="1:5" ht="23" x14ac:dyDescent="0.5">
      <c r="A1" s="6" t="s">
        <v>389</v>
      </c>
      <c r="B1" s="19" t="s">
        <v>390</v>
      </c>
    </row>
    <row r="3" spans="1:5" ht="55.5" x14ac:dyDescent="0.45">
      <c r="A3" s="7" t="s">
        <v>391</v>
      </c>
      <c r="B3" s="21" t="s">
        <v>421</v>
      </c>
    </row>
    <row r="4" spans="1:5" x14ac:dyDescent="0.35">
      <c r="C4" s="13" t="s">
        <v>0</v>
      </c>
      <c r="D4" s="13" t="s">
        <v>7</v>
      </c>
      <c r="E4" s="13" t="s">
        <v>8</v>
      </c>
    </row>
    <row r="5" spans="1:5" x14ac:dyDescent="0.35">
      <c r="C5" s="10" t="s">
        <v>35</v>
      </c>
      <c r="D5" s="10">
        <v>452</v>
      </c>
      <c r="E5" s="10">
        <v>300.75</v>
      </c>
    </row>
    <row r="6" spans="1:5" x14ac:dyDescent="0.35">
      <c r="C6" s="10" t="s">
        <v>44</v>
      </c>
      <c r="D6" s="10">
        <v>398</v>
      </c>
      <c r="E6" s="10">
        <v>326.89999999999998</v>
      </c>
    </row>
    <row r="7" spans="1:5" x14ac:dyDescent="0.35">
      <c r="C7" s="10" t="s">
        <v>59</v>
      </c>
      <c r="D7" s="10">
        <v>123</v>
      </c>
      <c r="E7" s="10">
        <v>273.52999999999997</v>
      </c>
    </row>
    <row r="8" spans="1:5" x14ac:dyDescent="0.35">
      <c r="C8" s="10" t="s">
        <v>78</v>
      </c>
      <c r="D8" s="10">
        <v>156</v>
      </c>
      <c r="E8" s="10">
        <v>19.55</v>
      </c>
    </row>
    <row r="9" spans="1:5" x14ac:dyDescent="0.35">
      <c r="C9" s="10" t="s">
        <v>92</v>
      </c>
      <c r="D9" s="10">
        <v>179</v>
      </c>
      <c r="E9" s="10">
        <v>205.63</v>
      </c>
    </row>
    <row r="10" spans="1:5" x14ac:dyDescent="0.35">
      <c r="C10" s="10" t="s">
        <v>146</v>
      </c>
      <c r="D10" s="10">
        <v>328</v>
      </c>
      <c r="E10" s="10">
        <v>56.14</v>
      </c>
    </row>
    <row r="11" spans="1:5" x14ac:dyDescent="0.35">
      <c r="C11" s="10" t="s">
        <v>150</v>
      </c>
      <c r="D11" s="10">
        <v>231</v>
      </c>
      <c r="E11" s="10">
        <v>242.55</v>
      </c>
    </row>
    <row r="12" spans="1:5" x14ac:dyDescent="0.35">
      <c r="C12" s="10" t="s">
        <v>250</v>
      </c>
      <c r="D12" s="10">
        <v>289</v>
      </c>
      <c r="E12" s="10">
        <v>310.58999999999997</v>
      </c>
    </row>
    <row r="13" spans="1:5" x14ac:dyDescent="0.35">
      <c r="C13" s="10" t="s">
        <v>360</v>
      </c>
      <c r="D13" s="10">
        <v>131</v>
      </c>
      <c r="E13" s="10">
        <v>194.35</v>
      </c>
    </row>
    <row r="14" spans="1:5" x14ac:dyDescent="0.35">
      <c r="C14" s="10" t="s">
        <v>375</v>
      </c>
      <c r="D14" s="10">
        <v>82</v>
      </c>
      <c r="E14" s="10">
        <v>36.24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E0C2-E895-443D-9E05-53C984880912}">
  <dimension ref="A1:N353"/>
  <sheetViews>
    <sheetView topLeftCell="B1" workbookViewId="0">
      <selection activeCell="B4" sqref="B4"/>
    </sheetView>
  </sheetViews>
  <sheetFormatPr defaultRowHeight="14.5" x14ac:dyDescent="0.35"/>
  <cols>
    <col min="1" max="1" width="18.36328125" bestFit="1" customWidth="1"/>
    <col min="2" max="2" width="39.90625" bestFit="1" customWidth="1"/>
    <col min="3" max="3" width="8.6328125" bestFit="1" customWidth="1"/>
    <col min="4" max="4" width="6.81640625" bestFit="1" customWidth="1"/>
    <col min="5" max="5" width="8.36328125" bestFit="1" customWidth="1"/>
    <col min="6" max="6" width="9.90625" bestFit="1" customWidth="1"/>
    <col min="7" max="7" width="12.54296875" bestFit="1" customWidth="1"/>
    <col min="8" max="8" width="12.36328125" bestFit="1" customWidth="1"/>
    <col min="9" max="9" width="18.08984375" bestFit="1" customWidth="1"/>
    <col min="10" max="10" width="9.453125" bestFit="1" customWidth="1"/>
    <col min="11" max="11" width="9.08984375" bestFit="1" customWidth="1"/>
    <col min="12" max="12" width="8.6328125" bestFit="1" customWidth="1"/>
    <col min="13" max="13" width="20.54296875" bestFit="1" customWidth="1"/>
    <col min="14" max="14" width="19.54296875" bestFit="1" customWidth="1"/>
  </cols>
  <sheetData>
    <row r="1" spans="1:14" ht="23" x14ac:dyDescent="0.5">
      <c r="A1" s="6" t="s">
        <v>392</v>
      </c>
      <c r="B1" s="19" t="s">
        <v>393</v>
      </c>
    </row>
    <row r="3" spans="1:14" x14ac:dyDescent="0.35">
      <c r="C3" s="13" t="s">
        <v>0</v>
      </c>
      <c r="D3" s="13" t="s">
        <v>1</v>
      </c>
      <c r="E3" s="13" t="s">
        <v>2</v>
      </c>
      <c r="F3" s="13" t="s">
        <v>3</v>
      </c>
      <c r="G3" s="13" t="s">
        <v>4</v>
      </c>
      <c r="H3" s="13" t="s">
        <v>5</v>
      </c>
      <c r="I3" s="13" t="s">
        <v>6</v>
      </c>
      <c r="J3" s="13" t="s">
        <v>7</v>
      </c>
      <c r="K3" s="13" t="s">
        <v>8</v>
      </c>
      <c r="L3" s="13" t="s">
        <v>9</v>
      </c>
      <c r="M3" s="15" t="s">
        <v>395</v>
      </c>
      <c r="N3" s="15" t="s">
        <v>394</v>
      </c>
    </row>
    <row r="4" spans="1:14" ht="37" x14ac:dyDescent="0.45">
      <c r="A4" s="7" t="s">
        <v>396</v>
      </c>
      <c r="B4" s="21" t="s">
        <v>397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4">
        <v>44927</v>
      </c>
      <c r="J4" s="10">
        <v>235</v>
      </c>
      <c r="K4" s="10">
        <v>152.91999999999999</v>
      </c>
      <c r="L4" s="10">
        <v>153.6</v>
      </c>
      <c r="M4" s="16">
        <v>35936.199999999997</v>
      </c>
      <c r="N4" s="16">
        <f>J4*K4</f>
        <v>35936.199999999997</v>
      </c>
    </row>
    <row r="5" spans="1:14" x14ac:dyDescent="0.35">
      <c r="C5" s="10" t="s">
        <v>16</v>
      </c>
      <c r="D5" s="10" t="s">
        <v>17</v>
      </c>
      <c r="E5" s="10" t="s">
        <v>18</v>
      </c>
      <c r="F5" s="10" t="s">
        <v>19</v>
      </c>
      <c r="G5" s="10" t="s">
        <v>14</v>
      </c>
      <c r="H5" s="10" t="s">
        <v>20</v>
      </c>
      <c r="I5" s="14">
        <v>44928</v>
      </c>
      <c r="J5" s="10">
        <v>341</v>
      </c>
      <c r="K5" s="10">
        <v>467.92</v>
      </c>
      <c r="L5" s="10">
        <v>139.84</v>
      </c>
      <c r="M5" s="16">
        <v>159560.72</v>
      </c>
      <c r="N5" s="16">
        <f t="shared" ref="N5:N68" si="0">J5*K5</f>
        <v>159560.72</v>
      </c>
    </row>
    <row r="6" spans="1:14" x14ac:dyDescent="0.35">
      <c r="C6" s="10" t="s">
        <v>21</v>
      </c>
      <c r="D6" s="10" t="s">
        <v>22</v>
      </c>
      <c r="E6" s="10" t="s">
        <v>18</v>
      </c>
      <c r="F6" s="10" t="s">
        <v>23</v>
      </c>
      <c r="G6" s="10" t="s">
        <v>24</v>
      </c>
      <c r="H6" s="10" t="s">
        <v>15</v>
      </c>
      <c r="I6" s="14">
        <v>44929</v>
      </c>
      <c r="J6" s="10">
        <v>179</v>
      </c>
      <c r="K6" s="10">
        <v>473.94</v>
      </c>
      <c r="L6" s="10">
        <v>97.14</v>
      </c>
      <c r="M6" s="16">
        <v>84835.26</v>
      </c>
      <c r="N6" s="16">
        <f t="shared" si="0"/>
        <v>84835.26</v>
      </c>
    </row>
    <row r="7" spans="1:14" x14ac:dyDescent="0.35">
      <c r="C7" s="10" t="s">
        <v>25</v>
      </c>
      <c r="D7" s="10" t="s">
        <v>11</v>
      </c>
      <c r="E7" s="10" t="s">
        <v>26</v>
      </c>
      <c r="F7" s="10" t="s">
        <v>27</v>
      </c>
      <c r="G7" s="10" t="s">
        <v>24</v>
      </c>
      <c r="H7" s="10" t="s">
        <v>28</v>
      </c>
      <c r="I7" s="14">
        <v>44930</v>
      </c>
      <c r="J7" s="10">
        <v>18</v>
      </c>
      <c r="K7" s="10">
        <v>314.52999999999997</v>
      </c>
      <c r="L7" s="10">
        <v>204.87</v>
      </c>
      <c r="M7" s="16">
        <v>5661.5399999999991</v>
      </c>
      <c r="N7" s="16">
        <f t="shared" si="0"/>
        <v>5661.5399999999991</v>
      </c>
    </row>
    <row r="8" spans="1:14" x14ac:dyDescent="0.35">
      <c r="C8" s="10" t="s">
        <v>29</v>
      </c>
      <c r="D8" s="10" t="s">
        <v>11</v>
      </c>
      <c r="E8" s="10" t="s">
        <v>18</v>
      </c>
      <c r="F8" s="10" t="s">
        <v>27</v>
      </c>
      <c r="G8" s="10" t="s">
        <v>24</v>
      </c>
      <c r="H8" s="10" t="s">
        <v>28</v>
      </c>
      <c r="I8" s="14">
        <v>44931</v>
      </c>
      <c r="J8" s="10">
        <v>472</v>
      </c>
      <c r="K8" s="10">
        <v>392.79</v>
      </c>
      <c r="L8" s="10">
        <v>330.46</v>
      </c>
      <c r="M8" s="16">
        <v>185396.88</v>
      </c>
      <c r="N8" s="16">
        <f t="shared" si="0"/>
        <v>185396.88</v>
      </c>
    </row>
    <row r="9" spans="1:14" x14ac:dyDescent="0.35">
      <c r="C9" s="10" t="s">
        <v>30</v>
      </c>
      <c r="D9" s="10" t="s">
        <v>17</v>
      </c>
      <c r="E9" s="10" t="s">
        <v>31</v>
      </c>
      <c r="F9" s="10" t="s">
        <v>23</v>
      </c>
      <c r="G9" s="10" t="s">
        <v>14</v>
      </c>
      <c r="H9" s="10" t="s">
        <v>15</v>
      </c>
      <c r="I9" s="14">
        <v>44932</v>
      </c>
      <c r="J9" s="10">
        <v>49</v>
      </c>
      <c r="K9" s="10">
        <v>308.07</v>
      </c>
      <c r="L9" s="10">
        <v>113.32</v>
      </c>
      <c r="M9" s="16">
        <v>15095.43</v>
      </c>
      <c r="N9" s="16">
        <f t="shared" si="0"/>
        <v>15095.43</v>
      </c>
    </row>
    <row r="10" spans="1:14" x14ac:dyDescent="0.35">
      <c r="C10" s="10" t="s">
        <v>32</v>
      </c>
      <c r="D10" s="10" t="s">
        <v>22</v>
      </c>
      <c r="E10" s="10" t="s">
        <v>12</v>
      </c>
      <c r="F10" s="10" t="s">
        <v>23</v>
      </c>
      <c r="G10" s="10" t="s">
        <v>14</v>
      </c>
      <c r="H10" s="10" t="s">
        <v>20</v>
      </c>
      <c r="I10" s="14">
        <v>44933</v>
      </c>
      <c r="J10" s="10">
        <v>34</v>
      </c>
      <c r="K10" s="10">
        <v>244.78</v>
      </c>
      <c r="L10" s="10">
        <v>377.07</v>
      </c>
      <c r="M10" s="16">
        <v>8322.52</v>
      </c>
      <c r="N10" s="16">
        <f t="shared" si="0"/>
        <v>8322.52</v>
      </c>
    </row>
    <row r="11" spans="1:14" x14ac:dyDescent="0.35">
      <c r="C11" s="10" t="s">
        <v>33</v>
      </c>
      <c r="D11" s="10" t="s">
        <v>22</v>
      </c>
      <c r="E11" s="10" t="s">
        <v>18</v>
      </c>
      <c r="F11" s="10" t="s">
        <v>13</v>
      </c>
      <c r="G11" s="10" t="s">
        <v>14</v>
      </c>
      <c r="H11" s="10" t="s">
        <v>15</v>
      </c>
      <c r="I11" s="14">
        <v>44934</v>
      </c>
      <c r="J11" s="10">
        <v>270</v>
      </c>
      <c r="K11" s="10">
        <v>332.11</v>
      </c>
      <c r="L11" s="10">
        <v>349.59</v>
      </c>
      <c r="M11" s="16">
        <v>89669.7</v>
      </c>
      <c r="N11" s="16">
        <f t="shared" si="0"/>
        <v>89669.7</v>
      </c>
    </row>
    <row r="12" spans="1:14" x14ac:dyDescent="0.35">
      <c r="C12" s="10" t="s">
        <v>34</v>
      </c>
      <c r="D12" s="10" t="s">
        <v>11</v>
      </c>
      <c r="E12" s="10" t="s">
        <v>18</v>
      </c>
      <c r="F12" s="10" t="s">
        <v>13</v>
      </c>
      <c r="G12" s="10" t="s">
        <v>14</v>
      </c>
      <c r="H12" s="10" t="s">
        <v>20</v>
      </c>
      <c r="I12" s="14">
        <v>44935</v>
      </c>
      <c r="J12" s="10">
        <v>404</v>
      </c>
      <c r="K12" s="10">
        <v>278.74</v>
      </c>
      <c r="L12" s="10">
        <v>66.38</v>
      </c>
      <c r="M12" s="16">
        <v>112610.96</v>
      </c>
      <c r="N12" s="16">
        <f t="shared" si="0"/>
        <v>112610.96</v>
      </c>
    </row>
    <row r="13" spans="1:14" x14ac:dyDescent="0.35">
      <c r="C13" s="10" t="s">
        <v>35</v>
      </c>
      <c r="D13" s="10"/>
      <c r="E13" s="10" t="s">
        <v>26</v>
      </c>
      <c r="F13" s="10" t="s">
        <v>27</v>
      </c>
      <c r="G13" s="10" t="s">
        <v>14</v>
      </c>
      <c r="H13" s="10" t="s">
        <v>28</v>
      </c>
      <c r="I13" s="14">
        <v>44936</v>
      </c>
      <c r="J13" s="10">
        <v>452</v>
      </c>
      <c r="K13" s="10">
        <v>300.75</v>
      </c>
      <c r="L13" s="10">
        <v>314.94</v>
      </c>
      <c r="M13" s="16">
        <v>135939</v>
      </c>
      <c r="N13" s="16">
        <f t="shared" si="0"/>
        <v>135939</v>
      </c>
    </row>
    <row r="14" spans="1:14" x14ac:dyDescent="0.35">
      <c r="C14" s="10" t="s">
        <v>36</v>
      </c>
      <c r="D14" s="10" t="s">
        <v>11</v>
      </c>
      <c r="E14" s="10" t="s">
        <v>26</v>
      </c>
      <c r="F14" s="10" t="s">
        <v>19</v>
      </c>
      <c r="G14" s="10" t="s">
        <v>14</v>
      </c>
      <c r="H14" s="10" t="s">
        <v>20</v>
      </c>
      <c r="I14" s="14">
        <v>44937</v>
      </c>
      <c r="J14" s="10">
        <v>235</v>
      </c>
      <c r="K14" s="10">
        <v>393</v>
      </c>
      <c r="L14" s="10">
        <v>230.69</v>
      </c>
      <c r="M14" s="16">
        <v>92355</v>
      </c>
      <c r="N14" s="16">
        <f t="shared" si="0"/>
        <v>92355</v>
      </c>
    </row>
    <row r="15" spans="1:14" x14ac:dyDescent="0.35">
      <c r="C15" s="10" t="s">
        <v>37</v>
      </c>
      <c r="D15" s="10" t="s">
        <v>11</v>
      </c>
      <c r="E15" s="10" t="s">
        <v>31</v>
      </c>
      <c r="F15" s="10" t="s">
        <v>27</v>
      </c>
      <c r="G15" s="10" t="s">
        <v>24</v>
      </c>
      <c r="H15" s="10" t="s">
        <v>28</v>
      </c>
      <c r="I15" s="14">
        <v>44938</v>
      </c>
      <c r="J15" s="10">
        <v>481</v>
      </c>
      <c r="K15" s="10">
        <v>243.05</v>
      </c>
      <c r="L15" s="10">
        <v>227.5</v>
      </c>
      <c r="M15" s="16">
        <v>116907.05</v>
      </c>
      <c r="N15" s="16">
        <f t="shared" si="0"/>
        <v>116907.05</v>
      </c>
    </row>
    <row r="16" spans="1:14" x14ac:dyDescent="0.35">
      <c r="C16" s="10" t="s">
        <v>38</v>
      </c>
      <c r="D16" s="10" t="s">
        <v>11</v>
      </c>
      <c r="E16" s="10" t="s">
        <v>12</v>
      </c>
      <c r="F16" s="10" t="s">
        <v>19</v>
      </c>
      <c r="G16" s="10" t="s">
        <v>24</v>
      </c>
      <c r="H16" s="10" t="s">
        <v>20</v>
      </c>
      <c r="I16" s="14">
        <v>44939</v>
      </c>
      <c r="J16" s="10">
        <v>133</v>
      </c>
      <c r="K16" s="10">
        <v>25.17</v>
      </c>
      <c r="L16" s="10">
        <v>157.63999999999999</v>
      </c>
      <c r="M16" s="16">
        <v>3347.61</v>
      </c>
      <c r="N16" s="16">
        <f t="shared" si="0"/>
        <v>3347.61</v>
      </c>
    </row>
    <row r="17" spans="3:14" x14ac:dyDescent="0.35">
      <c r="C17" s="10" t="s">
        <v>39</v>
      </c>
      <c r="D17" s="10" t="s">
        <v>11</v>
      </c>
      <c r="E17" s="10" t="s">
        <v>26</v>
      </c>
      <c r="F17" s="10" t="s">
        <v>19</v>
      </c>
      <c r="G17" s="10" t="s">
        <v>24</v>
      </c>
      <c r="H17" s="10" t="s">
        <v>20</v>
      </c>
      <c r="I17" s="14">
        <v>44940</v>
      </c>
      <c r="J17" s="10">
        <v>472</v>
      </c>
      <c r="K17" s="10">
        <v>86.18</v>
      </c>
      <c r="L17" s="10">
        <v>201.46</v>
      </c>
      <c r="M17" s="16">
        <v>40676.960000000006</v>
      </c>
      <c r="N17" s="16">
        <f t="shared" si="0"/>
        <v>40676.960000000006</v>
      </c>
    </row>
    <row r="18" spans="3:14" x14ac:dyDescent="0.35">
      <c r="C18" s="10" t="s">
        <v>40</v>
      </c>
      <c r="D18" s="10" t="s">
        <v>17</v>
      </c>
      <c r="E18" s="10" t="s">
        <v>18</v>
      </c>
      <c r="F18" s="10" t="s">
        <v>13</v>
      </c>
      <c r="G18" s="10" t="s">
        <v>24</v>
      </c>
      <c r="H18" s="10" t="s">
        <v>20</v>
      </c>
      <c r="I18" s="14">
        <v>44941</v>
      </c>
      <c r="J18" s="10">
        <v>47</v>
      </c>
      <c r="K18" s="10">
        <v>222.11</v>
      </c>
      <c r="L18" s="10">
        <v>160.08000000000001</v>
      </c>
      <c r="M18" s="16">
        <v>10439.17</v>
      </c>
      <c r="N18" s="16">
        <f t="shared" si="0"/>
        <v>10439.17</v>
      </c>
    </row>
    <row r="19" spans="3:14" x14ac:dyDescent="0.35">
      <c r="C19" s="10" t="s">
        <v>41</v>
      </c>
      <c r="D19" s="10" t="s">
        <v>22</v>
      </c>
      <c r="E19" s="10" t="s">
        <v>12</v>
      </c>
      <c r="F19" s="10" t="s">
        <v>42</v>
      </c>
      <c r="G19" s="10" t="s">
        <v>14</v>
      </c>
      <c r="H19" s="10" t="s">
        <v>15</v>
      </c>
      <c r="I19" s="14">
        <v>44942</v>
      </c>
      <c r="J19" s="10">
        <v>337</v>
      </c>
      <c r="K19" s="10">
        <v>363.79</v>
      </c>
      <c r="L19" s="10">
        <v>216.81</v>
      </c>
      <c r="M19" s="16">
        <v>122597.23</v>
      </c>
      <c r="N19" s="16">
        <f t="shared" si="0"/>
        <v>122597.23000000001</v>
      </c>
    </row>
    <row r="20" spans="3:14" x14ac:dyDescent="0.35">
      <c r="C20" s="10" t="s">
        <v>43</v>
      </c>
      <c r="D20" s="10" t="s">
        <v>17</v>
      </c>
      <c r="E20" s="10" t="s">
        <v>12</v>
      </c>
      <c r="F20" s="10" t="s">
        <v>42</v>
      </c>
      <c r="G20" s="10" t="s">
        <v>14</v>
      </c>
      <c r="H20" s="10" t="s">
        <v>15</v>
      </c>
      <c r="I20" s="14">
        <v>44943</v>
      </c>
      <c r="J20" s="10">
        <v>260</v>
      </c>
      <c r="K20" s="10">
        <v>298.67</v>
      </c>
      <c r="L20" s="10">
        <v>251.92</v>
      </c>
      <c r="M20" s="16">
        <v>77654.2</v>
      </c>
      <c r="N20" s="16">
        <f t="shared" si="0"/>
        <v>77654.2</v>
      </c>
    </row>
    <row r="21" spans="3:14" x14ac:dyDescent="0.35">
      <c r="C21" s="10" t="s">
        <v>44</v>
      </c>
      <c r="D21" s="10"/>
      <c r="E21" s="10" t="s">
        <v>18</v>
      </c>
      <c r="F21" s="10" t="s">
        <v>23</v>
      </c>
      <c r="G21" s="10" t="s">
        <v>24</v>
      </c>
      <c r="H21" s="10" t="s">
        <v>28</v>
      </c>
      <c r="I21" s="14">
        <v>44944</v>
      </c>
      <c r="J21" s="10">
        <v>398</v>
      </c>
      <c r="K21" s="10">
        <v>326.89999999999998</v>
      </c>
      <c r="L21" s="10">
        <v>270.37</v>
      </c>
      <c r="M21" s="16">
        <v>130106.2</v>
      </c>
      <c r="N21" s="16">
        <f t="shared" si="0"/>
        <v>130106.2</v>
      </c>
    </row>
    <row r="22" spans="3:14" x14ac:dyDescent="0.35">
      <c r="C22" s="10" t="s">
        <v>45</v>
      </c>
      <c r="D22" s="10" t="s">
        <v>17</v>
      </c>
      <c r="E22" s="10" t="s">
        <v>26</v>
      </c>
      <c r="F22" s="10" t="s">
        <v>13</v>
      </c>
      <c r="G22" s="10" t="s">
        <v>14</v>
      </c>
      <c r="H22" s="10" t="s">
        <v>28</v>
      </c>
      <c r="I22" s="14">
        <v>44945</v>
      </c>
      <c r="J22" s="10">
        <v>185</v>
      </c>
      <c r="K22" s="10">
        <v>242.24</v>
      </c>
      <c r="L22" s="10">
        <v>213.93</v>
      </c>
      <c r="M22" s="16">
        <v>44814.400000000001</v>
      </c>
      <c r="N22" s="16">
        <f t="shared" si="0"/>
        <v>44814.400000000001</v>
      </c>
    </row>
    <row r="23" spans="3:14" x14ac:dyDescent="0.35">
      <c r="C23" s="10" t="s">
        <v>46</v>
      </c>
      <c r="D23" s="10" t="s">
        <v>11</v>
      </c>
      <c r="E23" s="10" t="s">
        <v>18</v>
      </c>
      <c r="F23" s="10" t="s">
        <v>19</v>
      </c>
      <c r="G23" s="10" t="s">
        <v>24</v>
      </c>
      <c r="H23" s="10" t="s">
        <v>15</v>
      </c>
      <c r="I23" s="14">
        <v>44946</v>
      </c>
      <c r="J23" s="10">
        <v>99</v>
      </c>
      <c r="K23" s="10">
        <v>309.79000000000002</v>
      </c>
      <c r="L23" s="10">
        <v>289.13</v>
      </c>
      <c r="M23" s="16">
        <v>30669.21</v>
      </c>
      <c r="N23" s="16">
        <f t="shared" si="0"/>
        <v>30669.210000000003</v>
      </c>
    </row>
    <row r="24" spans="3:14" x14ac:dyDescent="0.35">
      <c r="C24" s="10" t="s">
        <v>47</v>
      </c>
      <c r="D24" s="10" t="s">
        <v>48</v>
      </c>
      <c r="E24" s="10" t="s">
        <v>12</v>
      </c>
      <c r="F24" s="10" t="s">
        <v>42</v>
      </c>
      <c r="G24" s="10" t="s">
        <v>24</v>
      </c>
      <c r="H24" s="10" t="s">
        <v>28</v>
      </c>
      <c r="I24" s="14">
        <v>44947</v>
      </c>
      <c r="J24" s="10">
        <v>411</v>
      </c>
      <c r="K24" s="10">
        <v>167.86</v>
      </c>
      <c r="L24" s="10">
        <v>58.23</v>
      </c>
      <c r="M24" s="16">
        <v>68990.460000000006</v>
      </c>
      <c r="N24" s="16">
        <f t="shared" si="0"/>
        <v>68990.460000000006</v>
      </c>
    </row>
    <row r="25" spans="3:14" x14ac:dyDescent="0.35">
      <c r="C25" s="10" t="s">
        <v>49</v>
      </c>
      <c r="D25" s="10" t="s">
        <v>22</v>
      </c>
      <c r="E25" s="10" t="s">
        <v>50</v>
      </c>
      <c r="F25" s="10" t="s">
        <v>19</v>
      </c>
      <c r="G25" s="10" t="s">
        <v>24</v>
      </c>
      <c r="H25" s="10" t="s">
        <v>15</v>
      </c>
      <c r="I25" s="14">
        <v>44948</v>
      </c>
      <c r="J25" s="10">
        <v>463</v>
      </c>
      <c r="K25" s="10">
        <v>237.74</v>
      </c>
      <c r="L25" s="10">
        <v>86.37</v>
      </c>
      <c r="M25" s="16">
        <v>110073.62</v>
      </c>
      <c r="N25" s="16">
        <f t="shared" si="0"/>
        <v>110073.62000000001</v>
      </c>
    </row>
    <row r="26" spans="3:14" x14ac:dyDescent="0.35">
      <c r="C26" s="10" t="s">
        <v>51</v>
      </c>
      <c r="D26" s="10" t="s">
        <v>48</v>
      </c>
      <c r="E26" s="10" t="s">
        <v>50</v>
      </c>
      <c r="F26" s="10" t="s">
        <v>42</v>
      </c>
      <c r="G26" s="10" t="s">
        <v>14</v>
      </c>
      <c r="H26" s="10" t="s">
        <v>20</v>
      </c>
      <c r="I26" s="14">
        <v>44949</v>
      </c>
      <c r="J26" s="10">
        <v>46</v>
      </c>
      <c r="K26" s="10">
        <v>373.42</v>
      </c>
      <c r="L26" s="10">
        <v>327.86</v>
      </c>
      <c r="M26" s="16">
        <v>17177.32</v>
      </c>
      <c r="N26" s="16">
        <f t="shared" si="0"/>
        <v>17177.32</v>
      </c>
    </row>
    <row r="27" spans="3:14" x14ac:dyDescent="0.35">
      <c r="C27" s="10" t="s">
        <v>52</v>
      </c>
      <c r="D27" s="10" t="s">
        <v>17</v>
      </c>
      <c r="E27" s="10" t="s">
        <v>31</v>
      </c>
      <c r="F27" s="10" t="s">
        <v>42</v>
      </c>
      <c r="G27" s="10" t="s">
        <v>24</v>
      </c>
      <c r="H27" s="10" t="s">
        <v>28</v>
      </c>
      <c r="I27" s="14">
        <v>44950</v>
      </c>
      <c r="J27" s="10">
        <v>325</v>
      </c>
      <c r="K27" s="10">
        <v>436.56</v>
      </c>
      <c r="L27" s="10">
        <v>130.37</v>
      </c>
      <c r="M27" s="16">
        <v>141882</v>
      </c>
      <c r="N27" s="16">
        <f t="shared" si="0"/>
        <v>141882</v>
      </c>
    </row>
    <row r="28" spans="3:14" x14ac:dyDescent="0.35">
      <c r="C28" s="10" t="s">
        <v>53</v>
      </c>
      <c r="D28" s="10" t="s">
        <v>17</v>
      </c>
      <c r="E28" s="10" t="s">
        <v>18</v>
      </c>
      <c r="F28" s="10"/>
      <c r="G28" s="10" t="s">
        <v>24</v>
      </c>
      <c r="H28" s="10" t="s">
        <v>28</v>
      </c>
      <c r="I28" s="14">
        <v>44951</v>
      </c>
      <c r="J28" s="10">
        <v>185</v>
      </c>
      <c r="K28" s="10">
        <v>219.66</v>
      </c>
      <c r="L28" s="10">
        <v>11.11</v>
      </c>
      <c r="M28" s="16">
        <v>40637.1</v>
      </c>
      <c r="N28" s="16">
        <f t="shared" si="0"/>
        <v>40637.1</v>
      </c>
    </row>
    <row r="29" spans="3:14" x14ac:dyDescent="0.35">
      <c r="C29" s="10" t="s">
        <v>54</v>
      </c>
      <c r="D29" s="10" t="s">
        <v>48</v>
      </c>
      <c r="E29" s="10" t="s">
        <v>18</v>
      </c>
      <c r="F29" s="10" t="s">
        <v>13</v>
      </c>
      <c r="G29" s="10" t="s">
        <v>24</v>
      </c>
      <c r="H29" s="10" t="s">
        <v>15</v>
      </c>
      <c r="I29" s="14">
        <v>44952</v>
      </c>
      <c r="J29" s="10">
        <v>470</v>
      </c>
      <c r="K29" s="10">
        <v>26.61</v>
      </c>
      <c r="L29" s="10">
        <v>63.21</v>
      </c>
      <c r="M29" s="16">
        <v>12506.7</v>
      </c>
      <c r="N29" s="16">
        <f t="shared" si="0"/>
        <v>12506.699999999999</v>
      </c>
    </row>
    <row r="30" spans="3:14" x14ac:dyDescent="0.35">
      <c r="C30" s="10" t="s">
        <v>55</v>
      </c>
      <c r="D30" s="10" t="s">
        <v>48</v>
      </c>
      <c r="E30" s="10" t="s">
        <v>31</v>
      </c>
      <c r="F30" s="10" t="s">
        <v>27</v>
      </c>
      <c r="G30" s="10" t="s">
        <v>14</v>
      </c>
      <c r="H30" s="10" t="s">
        <v>28</v>
      </c>
      <c r="I30" s="14">
        <v>44953</v>
      </c>
      <c r="J30" s="10">
        <v>293</v>
      </c>
      <c r="K30" s="10">
        <v>85.03</v>
      </c>
      <c r="L30" s="10">
        <v>91</v>
      </c>
      <c r="M30" s="16">
        <v>24913.79</v>
      </c>
      <c r="N30" s="16">
        <f t="shared" si="0"/>
        <v>24913.79</v>
      </c>
    </row>
    <row r="31" spans="3:14" x14ac:dyDescent="0.35">
      <c r="C31" s="10" t="s">
        <v>56</v>
      </c>
      <c r="D31" s="10" t="s">
        <v>48</v>
      </c>
      <c r="E31" s="10" t="s">
        <v>31</v>
      </c>
      <c r="F31" s="10" t="s">
        <v>19</v>
      </c>
      <c r="G31" s="10" t="s">
        <v>14</v>
      </c>
      <c r="H31" s="10" t="s">
        <v>28</v>
      </c>
      <c r="I31" s="14">
        <v>44954</v>
      </c>
      <c r="J31" s="10">
        <v>462</v>
      </c>
      <c r="K31" s="10">
        <v>206.7</v>
      </c>
      <c r="L31" s="10">
        <v>383.01</v>
      </c>
      <c r="M31" s="16">
        <v>95495.4</v>
      </c>
      <c r="N31" s="16">
        <f t="shared" si="0"/>
        <v>95495.4</v>
      </c>
    </row>
    <row r="32" spans="3:14" x14ac:dyDescent="0.35">
      <c r="C32" s="10" t="s">
        <v>57</v>
      </c>
      <c r="D32" s="10" t="s">
        <v>17</v>
      </c>
      <c r="E32" s="10" t="s">
        <v>31</v>
      </c>
      <c r="F32" s="10" t="s">
        <v>13</v>
      </c>
      <c r="G32" s="10" t="s">
        <v>24</v>
      </c>
      <c r="H32" s="10" t="s">
        <v>20</v>
      </c>
      <c r="I32" s="14">
        <v>44955</v>
      </c>
      <c r="J32" s="10">
        <v>470</v>
      </c>
      <c r="K32" s="10">
        <v>328.37</v>
      </c>
      <c r="L32" s="10">
        <v>230.07</v>
      </c>
      <c r="M32" s="16">
        <v>154333.9</v>
      </c>
      <c r="N32" s="16">
        <f t="shared" si="0"/>
        <v>154333.9</v>
      </c>
    </row>
    <row r="33" spans="3:14" x14ac:dyDescent="0.35">
      <c r="C33" s="10" t="s">
        <v>58</v>
      </c>
      <c r="D33" s="10" t="s">
        <v>17</v>
      </c>
      <c r="E33" s="10" t="s">
        <v>12</v>
      </c>
      <c r="F33" s="10" t="s">
        <v>13</v>
      </c>
      <c r="G33" s="10" t="s">
        <v>14</v>
      </c>
      <c r="H33" s="10" t="s">
        <v>28</v>
      </c>
      <c r="I33" s="14">
        <v>44956</v>
      </c>
      <c r="J33" s="10">
        <v>90</v>
      </c>
      <c r="K33" s="10">
        <v>169.5</v>
      </c>
      <c r="L33" s="10">
        <v>373.23</v>
      </c>
      <c r="M33" s="16">
        <v>15255</v>
      </c>
      <c r="N33" s="16">
        <f t="shared" si="0"/>
        <v>15255</v>
      </c>
    </row>
    <row r="34" spans="3:14" x14ac:dyDescent="0.35">
      <c r="C34" s="10" t="s">
        <v>59</v>
      </c>
      <c r="D34" s="10"/>
      <c r="E34" s="10" t="s">
        <v>18</v>
      </c>
      <c r="F34" s="10" t="s">
        <v>13</v>
      </c>
      <c r="G34" s="10" t="s">
        <v>14</v>
      </c>
      <c r="H34" s="10" t="s">
        <v>20</v>
      </c>
      <c r="I34" s="14">
        <v>44957</v>
      </c>
      <c r="J34" s="10">
        <v>123</v>
      </c>
      <c r="K34" s="10">
        <v>273.52999999999997</v>
      </c>
      <c r="L34" s="10">
        <v>230.92</v>
      </c>
      <c r="M34" s="16">
        <v>33644.19</v>
      </c>
      <c r="N34" s="16">
        <f t="shared" si="0"/>
        <v>33644.189999999995</v>
      </c>
    </row>
    <row r="35" spans="3:14" x14ac:dyDescent="0.35">
      <c r="C35" s="10" t="s">
        <v>60</v>
      </c>
      <c r="D35" s="10" t="s">
        <v>22</v>
      </c>
      <c r="E35" s="10" t="s">
        <v>12</v>
      </c>
      <c r="F35" s="10" t="s">
        <v>13</v>
      </c>
      <c r="G35" s="10" t="s">
        <v>14</v>
      </c>
      <c r="H35" s="10" t="s">
        <v>15</v>
      </c>
      <c r="I35" s="14">
        <v>44958</v>
      </c>
      <c r="J35" s="10">
        <v>49</v>
      </c>
      <c r="K35" s="10">
        <v>249.17</v>
      </c>
      <c r="L35" s="10">
        <v>192.78</v>
      </c>
      <c r="M35" s="16">
        <v>12209.33</v>
      </c>
      <c r="N35" s="16">
        <f t="shared" si="0"/>
        <v>12209.33</v>
      </c>
    </row>
    <row r="36" spans="3:14" x14ac:dyDescent="0.35">
      <c r="C36" s="10" t="s">
        <v>61</v>
      </c>
      <c r="D36" s="10" t="s">
        <v>17</v>
      </c>
      <c r="E36" s="10" t="s">
        <v>31</v>
      </c>
      <c r="F36" s="10" t="s">
        <v>13</v>
      </c>
      <c r="G36" s="10" t="s">
        <v>14</v>
      </c>
      <c r="H36" s="10" t="s">
        <v>28</v>
      </c>
      <c r="I36" s="14">
        <v>44959</v>
      </c>
      <c r="J36" s="10">
        <v>310</v>
      </c>
      <c r="K36" s="10">
        <v>45.36</v>
      </c>
      <c r="L36" s="10">
        <v>126.86</v>
      </c>
      <c r="M36" s="16">
        <v>14061.6</v>
      </c>
      <c r="N36" s="16">
        <f t="shared" si="0"/>
        <v>14061.6</v>
      </c>
    </row>
    <row r="37" spans="3:14" x14ac:dyDescent="0.35">
      <c r="C37" s="10" t="s">
        <v>62</v>
      </c>
      <c r="D37" s="10" t="s">
        <v>48</v>
      </c>
      <c r="E37" s="10" t="s">
        <v>18</v>
      </c>
      <c r="F37" s="10" t="s">
        <v>23</v>
      </c>
      <c r="G37" s="10" t="s">
        <v>14</v>
      </c>
      <c r="H37" s="10" t="s">
        <v>20</v>
      </c>
      <c r="I37" s="14">
        <v>44960</v>
      </c>
      <c r="J37" s="10">
        <v>233</v>
      </c>
      <c r="K37" s="10">
        <v>204.61</v>
      </c>
      <c r="L37" s="10">
        <v>243.34</v>
      </c>
      <c r="M37" s="16">
        <v>47674.13</v>
      </c>
      <c r="N37" s="16">
        <f t="shared" si="0"/>
        <v>47674.130000000005</v>
      </c>
    </row>
    <row r="38" spans="3:14" x14ac:dyDescent="0.35">
      <c r="C38" s="10" t="s">
        <v>63</v>
      </c>
      <c r="D38" s="10" t="s">
        <v>48</v>
      </c>
      <c r="E38" s="10" t="s">
        <v>12</v>
      </c>
      <c r="F38" s="10" t="s">
        <v>19</v>
      </c>
      <c r="G38" s="10" t="s">
        <v>14</v>
      </c>
      <c r="H38" s="10" t="s">
        <v>15</v>
      </c>
      <c r="I38" s="14">
        <v>44961</v>
      </c>
      <c r="J38" s="10">
        <v>327</v>
      </c>
      <c r="K38" s="10">
        <v>114.18</v>
      </c>
      <c r="L38" s="10">
        <v>57.4</v>
      </c>
      <c r="M38" s="16">
        <v>37336.86</v>
      </c>
      <c r="N38" s="16">
        <f t="shared" si="0"/>
        <v>37336.86</v>
      </c>
    </row>
    <row r="39" spans="3:14" x14ac:dyDescent="0.35">
      <c r="C39" s="10" t="s">
        <v>64</v>
      </c>
      <c r="D39" s="10" t="s">
        <v>22</v>
      </c>
      <c r="E39" s="10" t="s">
        <v>12</v>
      </c>
      <c r="F39" s="10" t="s">
        <v>13</v>
      </c>
      <c r="G39" s="10" t="s">
        <v>14</v>
      </c>
      <c r="H39" s="10" t="s">
        <v>28</v>
      </c>
      <c r="I39" s="14">
        <v>44962</v>
      </c>
      <c r="J39" s="10">
        <v>358</v>
      </c>
      <c r="K39" s="10">
        <v>212.11</v>
      </c>
      <c r="L39" s="10">
        <v>359.51</v>
      </c>
      <c r="M39" s="16">
        <v>75935.38</v>
      </c>
      <c r="N39" s="16">
        <f t="shared" si="0"/>
        <v>75935.38</v>
      </c>
    </row>
    <row r="40" spans="3:14" x14ac:dyDescent="0.35">
      <c r="C40" s="10" t="s">
        <v>65</v>
      </c>
      <c r="D40" s="10" t="s">
        <v>17</v>
      </c>
      <c r="E40" s="10" t="s">
        <v>31</v>
      </c>
      <c r="F40" s="10" t="s">
        <v>19</v>
      </c>
      <c r="G40" s="10" t="s">
        <v>14</v>
      </c>
      <c r="H40" s="10" t="s">
        <v>15</v>
      </c>
      <c r="I40" s="14">
        <v>44963</v>
      </c>
      <c r="J40" s="10">
        <v>124</v>
      </c>
      <c r="K40" s="10">
        <v>316.565</v>
      </c>
      <c r="L40" s="10">
        <v>332.07</v>
      </c>
      <c r="M40" s="16">
        <v>39254.06</v>
      </c>
      <c r="N40" s="16">
        <f t="shared" si="0"/>
        <v>39254.06</v>
      </c>
    </row>
    <row r="41" spans="3:14" x14ac:dyDescent="0.35">
      <c r="C41" s="10" t="s">
        <v>66</v>
      </c>
      <c r="D41" s="10" t="s">
        <v>22</v>
      </c>
      <c r="E41" s="10" t="s">
        <v>18</v>
      </c>
      <c r="F41" s="10" t="s">
        <v>23</v>
      </c>
      <c r="G41" s="10" t="s">
        <v>14</v>
      </c>
      <c r="H41" s="10" t="s">
        <v>28</v>
      </c>
      <c r="I41" s="14">
        <v>44964</v>
      </c>
      <c r="J41" s="10">
        <v>195</v>
      </c>
      <c r="K41" s="10">
        <v>421.02</v>
      </c>
      <c r="L41" s="10">
        <v>128.38</v>
      </c>
      <c r="M41" s="16">
        <v>82098.899999999994</v>
      </c>
      <c r="N41" s="16">
        <f t="shared" si="0"/>
        <v>82098.899999999994</v>
      </c>
    </row>
    <row r="42" spans="3:14" x14ac:dyDescent="0.35">
      <c r="C42" s="10" t="s">
        <v>67</v>
      </c>
      <c r="D42" s="10" t="s">
        <v>22</v>
      </c>
      <c r="E42" s="10" t="s">
        <v>31</v>
      </c>
      <c r="F42" s="10" t="s">
        <v>23</v>
      </c>
      <c r="G42" s="10" t="s">
        <v>14</v>
      </c>
      <c r="H42" s="10" t="s">
        <v>15</v>
      </c>
      <c r="I42" s="14">
        <v>44965</v>
      </c>
      <c r="J42" s="10">
        <v>130</v>
      </c>
      <c r="K42" s="10">
        <v>91.23</v>
      </c>
      <c r="L42" s="10">
        <v>381.21</v>
      </c>
      <c r="M42" s="16">
        <v>11859.9</v>
      </c>
      <c r="N42" s="16">
        <f t="shared" si="0"/>
        <v>11859.9</v>
      </c>
    </row>
    <row r="43" spans="3:14" x14ac:dyDescent="0.35">
      <c r="C43" s="10" t="s">
        <v>68</v>
      </c>
      <c r="D43" s="10" t="s">
        <v>11</v>
      </c>
      <c r="E43" s="10" t="s">
        <v>18</v>
      </c>
      <c r="F43" s="10" t="s">
        <v>19</v>
      </c>
      <c r="G43" s="10" t="s">
        <v>24</v>
      </c>
      <c r="H43" s="10" t="s">
        <v>15</v>
      </c>
      <c r="I43" s="14">
        <v>44966</v>
      </c>
      <c r="J43" s="10">
        <v>65</v>
      </c>
      <c r="K43" s="10">
        <v>480.59</v>
      </c>
      <c r="L43" s="10">
        <v>330.43</v>
      </c>
      <c r="M43" s="16">
        <v>31238.35</v>
      </c>
      <c r="N43" s="16">
        <f t="shared" si="0"/>
        <v>31238.35</v>
      </c>
    </row>
    <row r="44" spans="3:14" x14ac:dyDescent="0.35">
      <c r="C44" s="10" t="s">
        <v>69</v>
      </c>
      <c r="D44" s="10" t="s">
        <v>11</v>
      </c>
      <c r="E44" s="10" t="s">
        <v>50</v>
      </c>
      <c r="F44" s="10" t="s">
        <v>42</v>
      </c>
      <c r="G44" s="10" t="s">
        <v>24</v>
      </c>
      <c r="H44" s="10" t="s">
        <v>20</v>
      </c>
      <c r="I44" s="14">
        <v>44967</v>
      </c>
      <c r="J44" s="10">
        <v>49</v>
      </c>
      <c r="K44" s="10">
        <v>210.87</v>
      </c>
      <c r="L44" s="10">
        <v>267.19</v>
      </c>
      <c r="M44" s="16">
        <v>10332.629999999999</v>
      </c>
      <c r="N44" s="16">
        <f t="shared" si="0"/>
        <v>10332.630000000001</v>
      </c>
    </row>
    <row r="45" spans="3:14" x14ac:dyDescent="0.35">
      <c r="C45" s="10" t="s">
        <v>70</v>
      </c>
      <c r="D45" s="10" t="s">
        <v>11</v>
      </c>
      <c r="E45" s="10" t="s">
        <v>26</v>
      </c>
      <c r="F45" s="10" t="s">
        <v>27</v>
      </c>
      <c r="G45" s="10" t="s">
        <v>14</v>
      </c>
      <c r="H45" s="10" t="s">
        <v>15</v>
      </c>
      <c r="I45" s="14">
        <v>44968</v>
      </c>
      <c r="J45" s="10">
        <v>363</v>
      </c>
      <c r="K45" s="10">
        <v>423.89</v>
      </c>
      <c r="L45" s="10">
        <v>50.46</v>
      </c>
      <c r="M45" s="16">
        <v>153872.07</v>
      </c>
      <c r="N45" s="16">
        <f t="shared" si="0"/>
        <v>153872.07</v>
      </c>
    </row>
    <row r="46" spans="3:14" x14ac:dyDescent="0.35">
      <c r="C46" s="10" t="s">
        <v>71</v>
      </c>
      <c r="D46" s="10" t="s">
        <v>48</v>
      </c>
      <c r="E46" s="10" t="s">
        <v>26</v>
      </c>
      <c r="F46" s="10" t="s">
        <v>42</v>
      </c>
      <c r="G46" s="10" t="s">
        <v>24</v>
      </c>
      <c r="H46" s="10" t="s">
        <v>28</v>
      </c>
      <c r="I46" s="14">
        <v>44969</v>
      </c>
      <c r="J46" s="10">
        <v>49</v>
      </c>
      <c r="K46" s="10">
        <v>316.24</v>
      </c>
      <c r="L46" s="10">
        <v>192.34</v>
      </c>
      <c r="M46" s="16">
        <v>15495.76</v>
      </c>
      <c r="N46" s="16">
        <f t="shared" si="0"/>
        <v>15495.76</v>
      </c>
    </row>
    <row r="47" spans="3:14" x14ac:dyDescent="0.35">
      <c r="C47" s="10" t="s">
        <v>72</v>
      </c>
      <c r="D47" s="10" t="s">
        <v>17</v>
      </c>
      <c r="E47" s="10" t="s">
        <v>26</v>
      </c>
      <c r="F47" s="10" t="s">
        <v>42</v>
      </c>
      <c r="G47" s="10" t="s">
        <v>24</v>
      </c>
      <c r="H47" s="10" t="s">
        <v>28</v>
      </c>
      <c r="I47" s="14">
        <v>44970</v>
      </c>
      <c r="J47" s="10">
        <v>356</v>
      </c>
      <c r="K47" s="10">
        <v>369</v>
      </c>
      <c r="L47" s="10">
        <v>203.43</v>
      </c>
      <c r="M47" s="16">
        <v>131364</v>
      </c>
      <c r="N47" s="16">
        <f t="shared" si="0"/>
        <v>131364</v>
      </c>
    </row>
    <row r="48" spans="3:14" x14ac:dyDescent="0.35">
      <c r="C48" s="10" t="s">
        <v>73</v>
      </c>
      <c r="D48" s="10" t="s">
        <v>17</v>
      </c>
      <c r="E48" s="10" t="s">
        <v>31</v>
      </c>
      <c r="F48" s="10" t="s">
        <v>42</v>
      </c>
      <c r="G48" s="10" t="s">
        <v>14</v>
      </c>
      <c r="H48" s="10" t="s">
        <v>20</v>
      </c>
      <c r="I48" s="14">
        <v>44971</v>
      </c>
      <c r="J48" s="10">
        <v>470</v>
      </c>
      <c r="K48" s="10">
        <v>311.95</v>
      </c>
      <c r="L48" s="10">
        <v>94.56</v>
      </c>
      <c r="M48" s="16">
        <v>146616.5</v>
      </c>
      <c r="N48" s="16">
        <f t="shared" si="0"/>
        <v>146616.5</v>
      </c>
    </row>
    <row r="49" spans="3:14" x14ac:dyDescent="0.35">
      <c r="C49" s="10" t="s">
        <v>74</v>
      </c>
      <c r="D49" s="10" t="s">
        <v>17</v>
      </c>
      <c r="E49" s="10" t="s">
        <v>50</v>
      </c>
      <c r="F49" s="10" t="s">
        <v>13</v>
      </c>
      <c r="G49" s="10" t="s">
        <v>14</v>
      </c>
      <c r="H49" s="10" t="s">
        <v>28</v>
      </c>
      <c r="I49" s="14">
        <v>44972</v>
      </c>
      <c r="J49" s="10">
        <v>246</v>
      </c>
      <c r="K49" s="10">
        <v>254.9</v>
      </c>
      <c r="L49" s="10">
        <v>33.83</v>
      </c>
      <c r="M49" s="16">
        <v>62705.4</v>
      </c>
      <c r="N49" s="16">
        <f t="shared" si="0"/>
        <v>62705.4</v>
      </c>
    </row>
    <row r="50" spans="3:14" x14ac:dyDescent="0.35">
      <c r="C50" s="10" t="s">
        <v>75</v>
      </c>
      <c r="D50" s="10" t="s">
        <v>17</v>
      </c>
      <c r="E50" s="10" t="s">
        <v>18</v>
      </c>
      <c r="F50" s="10" t="s">
        <v>23</v>
      </c>
      <c r="G50" s="10" t="s">
        <v>14</v>
      </c>
      <c r="H50" s="10" t="s">
        <v>28</v>
      </c>
      <c r="I50" s="14">
        <v>44973</v>
      </c>
      <c r="J50" s="10">
        <v>298</v>
      </c>
      <c r="K50" s="10">
        <v>273.93</v>
      </c>
      <c r="L50" s="10">
        <v>311.14</v>
      </c>
      <c r="M50" s="16">
        <v>81631.14</v>
      </c>
      <c r="N50" s="16">
        <f t="shared" si="0"/>
        <v>81631.14</v>
      </c>
    </row>
    <row r="51" spans="3:14" x14ac:dyDescent="0.35">
      <c r="C51" s="10" t="s">
        <v>76</v>
      </c>
      <c r="D51" s="10" t="s">
        <v>11</v>
      </c>
      <c r="E51" s="10" t="s">
        <v>12</v>
      </c>
      <c r="F51" s="10" t="s">
        <v>42</v>
      </c>
      <c r="G51" s="10" t="s">
        <v>24</v>
      </c>
      <c r="H51" s="10" t="s">
        <v>28</v>
      </c>
      <c r="I51" s="14">
        <v>44974</v>
      </c>
      <c r="J51" s="10">
        <v>271</v>
      </c>
      <c r="K51" s="10">
        <v>259.43</v>
      </c>
      <c r="L51" s="10">
        <v>50.57</v>
      </c>
      <c r="M51" s="16">
        <v>70305.53</v>
      </c>
      <c r="N51" s="16">
        <f t="shared" si="0"/>
        <v>70305.53</v>
      </c>
    </row>
    <row r="52" spans="3:14" x14ac:dyDescent="0.35">
      <c r="C52" s="10" t="s">
        <v>77</v>
      </c>
      <c r="D52" s="10" t="s">
        <v>48</v>
      </c>
      <c r="E52" s="10" t="s">
        <v>18</v>
      </c>
      <c r="F52" s="10" t="s">
        <v>23</v>
      </c>
      <c r="G52" s="10" t="s">
        <v>24</v>
      </c>
      <c r="H52" s="10" t="s">
        <v>15</v>
      </c>
      <c r="I52" s="14">
        <v>44975</v>
      </c>
      <c r="J52" s="10">
        <v>225</v>
      </c>
      <c r="K52" s="10">
        <v>296.08999999999997</v>
      </c>
      <c r="L52" s="10">
        <v>238.53</v>
      </c>
      <c r="M52" s="16">
        <v>66620.25</v>
      </c>
      <c r="N52" s="16">
        <f t="shared" si="0"/>
        <v>66620.25</v>
      </c>
    </row>
    <row r="53" spans="3:14" x14ac:dyDescent="0.35">
      <c r="C53" s="10" t="s">
        <v>78</v>
      </c>
      <c r="D53" s="10"/>
      <c r="E53" s="10" t="s">
        <v>12</v>
      </c>
      <c r="F53" s="10" t="s">
        <v>19</v>
      </c>
      <c r="G53" s="10" t="s">
        <v>14</v>
      </c>
      <c r="H53" s="10" t="s">
        <v>15</v>
      </c>
      <c r="I53" s="14">
        <v>44976</v>
      </c>
      <c r="J53" s="10">
        <v>156</v>
      </c>
      <c r="K53" s="10">
        <v>19.55</v>
      </c>
      <c r="L53" s="10">
        <v>374.71</v>
      </c>
      <c r="M53" s="16">
        <v>3049.8</v>
      </c>
      <c r="N53" s="16">
        <f t="shared" si="0"/>
        <v>3049.8</v>
      </c>
    </row>
    <row r="54" spans="3:14" x14ac:dyDescent="0.35">
      <c r="C54" s="10" t="s">
        <v>79</v>
      </c>
      <c r="D54" s="10" t="s">
        <v>11</v>
      </c>
      <c r="E54" s="10" t="s">
        <v>18</v>
      </c>
      <c r="F54" s="10" t="s">
        <v>27</v>
      </c>
      <c r="G54" s="10" t="s">
        <v>14</v>
      </c>
      <c r="H54" s="10" t="s">
        <v>28</v>
      </c>
      <c r="I54" s="14">
        <v>44977</v>
      </c>
      <c r="J54" s="10">
        <v>345</v>
      </c>
      <c r="K54" s="10">
        <v>200.78</v>
      </c>
      <c r="L54" s="10">
        <v>350.69</v>
      </c>
      <c r="M54" s="16">
        <v>69269.100000000006</v>
      </c>
      <c r="N54" s="16">
        <f t="shared" si="0"/>
        <v>69269.100000000006</v>
      </c>
    </row>
    <row r="55" spans="3:14" x14ac:dyDescent="0.35">
      <c r="C55" s="10" t="s">
        <v>80</v>
      </c>
      <c r="D55" s="10" t="s">
        <v>48</v>
      </c>
      <c r="E55" s="10" t="s">
        <v>50</v>
      </c>
      <c r="F55" s="10" t="s">
        <v>19</v>
      </c>
      <c r="G55" s="10" t="s">
        <v>14</v>
      </c>
      <c r="H55" s="10" t="s">
        <v>20</v>
      </c>
      <c r="I55" s="14">
        <v>44978</v>
      </c>
      <c r="J55" s="10">
        <v>177</v>
      </c>
      <c r="K55" s="10">
        <v>305.06</v>
      </c>
      <c r="L55" s="10">
        <v>112.55</v>
      </c>
      <c r="M55" s="16">
        <v>53995.62</v>
      </c>
      <c r="N55" s="16">
        <f t="shared" si="0"/>
        <v>53995.62</v>
      </c>
    </row>
    <row r="56" spans="3:14" x14ac:dyDescent="0.35">
      <c r="C56" s="10" t="s">
        <v>81</v>
      </c>
      <c r="D56" s="10" t="s">
        <v>11</v>
      </c>
      <c r="E56" s="10" t="s">
        <v>12</v>
      </c>
      <c r="F56" s="10" t="s">
        <v>19</v>
      </c>
      <c r="G56" s="10" t="s">
        <v>24</v>
      </c>
      <c r="H56" s="10" t="s">
        <v>15</v>
      </c>
      <c r="I56" s="14">
        <v>44979</v>
      </c>
      <c r="J56" s="10">
        <v>101</v>
      </c>
      <c r="K56" s="10">
        <v>300.87</v>
      </c>
      <c r="L56" s="10">
        <v>340.88</v>
      </c>
      <c r="M56" s="16">
        <v>30387.87</v>
      </c>
      <c r="N56" s="16">
        <f t="shared" si="0"/>
        <v>30387.87</v>
      </c>
    </row>
    <row r="57" spans="3:14" x14ac:dyDescent="0.35">
      <c r="C57" s="10" t="s">
        <v>82</v>
      </c>
      <c r="D57" s="10" t="s">
        <v>17</v>
      </c>
      <c r="E57" s="10" t="s">
        <v>31</v>
      </c>
      <c r="F57" s="10" t="s">
        <v>13</v>
      </c>
      <c r="G57" s="10" t="s">
        <v>24</v>
      </c>
      <c r="H57" s="10" t="s">
        <v>20</v>
      </c>
      <c r="I57" s="14">
        <v>44980</v>
      </c>
      <c r="J57" s="10">
        <v>362</v>
      </c>
      <c r="K57" s="10">
        <v>397.51</v>
      </c>
      <c r="L57" s="10">
        <v>2.13</v>
      </c>
      <c r="M57" s="16">
        <v>143898.62</v>
      </c>
      <c r="N57" s="16">
        <f t="shared" si="0"/>
        <v>143898.62</v>
      </c>
    </row>
    <row r="58" spans="3:14" x14ac:dyDescent="0.35">
      <c r="C58" s="10" t="s">
        <v>83</v>
      </c>
      <c r="D58" s="10" t="s">
        <v>11</v>
      </c>
      <c r="E58" s="10" t="s">
        <v>18</v>
      </c>
      <c r="F58" s="10" t="s">
        <v>27</v>
      </c>
      <c r="G58" s="10" t="s">
        <v>24</v>
      </c>
      <c r="H58" s="10" t="s">
        <v>28</v>
      </c>
      <c r="I58" s="14">
        <v>44981</v>
      </c>
      <c r="J58" s="10">
        <v>68</v>
      </c>
      <c r="K58" s="10">
        <v>329.23</v>
      </c>
      <c r="L58" s="10">
        <v>9.0399999999999991</v>
      </c>
      <c r="M58" s="16">
        <v>22387.64</v>
      </c>
      <c r="N58" s="16">
        <f t="shared" si="0"/>
        <v>22387.64</v>
      </c>
    </row>
    <row r="59" spans="3:14" x14ac:dyDescent="0.35">
      <c r="C59" s="10" t="s">
        <v>84</v>
      </c>
      <c r="D59" s="10" t="s">
        <v>17</v>
      </c>
      <c r="E59" s="10" t="s">
        <v>18</v>
      </c>
      <c r="F59" s="10" t="s">
        <v>19</v>
      </c>
      <c r="G59" s="10" t="s">
        <v>24</v>
      </c>
      <c r="H59" s="10" t="s">
        <v>28</v>
      </c>
      <c r="I59" s="14">
        <v>44982</v>
      </c>
      <c r="J59" s="10">
        <v>68</v>
      </c>
      <c r="K59" s="10">
        <v>496.11</v>
      </c>
      <c r="L59" s="10">
        <v>241.82</v>
      </c>
      <c r="M59" s="16">
        <v>33735.480000000003</v>
      </c>
      <c r="N59" s="16">
        <f t="shared" si="0"/>
        <v>33735.480000000003</v>
      </c>
    </row>
    <row r="60" spans="3:14" x14ac:dyDescent="0.35">
      <c r="C60" s="10" t="s">
        <v>85</v>
      </c>
      <c r="D60" s="10" t="s">
        <v>17</v>
      </c>
      <c r="E60" s="10" t="s">
        <v>12</v>
      </c>
      <c r="F60" s="10" t="s">
        <v>19</v>
      </c>
      <c r="G60" s="10" t="s">
        <v>14</v>
      </c>
      <c r="H60" s="10" t="s">
        <v>15</v>
      </c>
      <c r="I60" s="14">
        <v>44983</v>
      </c>
      <c r="J60" s="10">
        <v>313</v>
      </c>
      <c r="K60" s="10">
        <v>145.51</v>
      </c>
      <c r="L60" s="10">
        <v>147.19</v>
      </c>
      <c r="M60" s="16">
        <v>45544.63</v>
      </c>
      <c r="N60" s="16">
        <f t="shared" si="0"/>
        <v>45544.63</v>
      </c>
    </row>
    <row r="61" spans="3:14" x14ac:dyDescent="0.35">
      <c r="C61" s="10" t="s">
        <v>86</v>
      </c>
      <c r="D61" s="10" t="s">
        <v>22</v>
      </c>
      <c r="E61" s="10" t="s">
        <v>31</v>
      </c>
      <c r="F61" s="10" t="s">
        <v>27</v>
      </c>
      <c r="G61" s="10" t="s">
        <v>14</v>
      </c>
      <c r="H61" s="10" t="s">
        <v>28</v>
      </c>
      <c r="I61" s="14">
        <v>44984</v>
      </c>
      <c r="J61" s="10">
        <v>178</v>
      </c>
      <c r="K61" s="10">
        <v>182.78</v>
      </c>
      <c r="L61" s="10">
        <v>155.81</v>
      </c>
      <c r="M61" s="16">
        <v>32534.84</v>
      </c>
      <c r="N61" s="16">
        <f t="shared" si="0"/>
        <v>32534.84</v>
      </c>
    </row>
    <row r="62" spans="3:14" x14ac:dyDescent="0.35">
      <c r="C62" s="10" t="s">
        <v>87</v>
      </c>
      <c r="D62" s="10" t="s">
        <v>11</v>
      </c>
      <c r="E62" s="10" t="s">
        <v>31</v>
      </c>
      <c r="F62" s="10" t="s">
        <v>27</v>
      </c>
      <c r="G62" s="10" t="s">
        <v>14</v>
      </c>
      <c r="H62" s="10" t="s">
        <v>15</v>
      </c>
      <c r="I62" s="14">
        <v>44985</v>
      </c>
      <c r="J62" s="10">
        <v>278</v>
      </c>
      <c r="K62" s="10">
        <v>195</v>
      </c>
      <c r="L62" s="10">
        <v>226.65</v>
      </c>
      <c r="M62" s="16">
        <v>54210</v>
      </c>
      <c r="N62" s="16">
        <f t="shared" si="0"/>
        <v>54210</v>
      </c>
    </row>
    <row r="63" spans="3:14" x14ac:dyDescent="0.35">
      <c r="C63" s="10" t="s">
        <v>88</v>
      </c>
      <c r="D63" s="10" t="s">
        <v>22</v>
      </c>
      <c r="E63" s="10" t="s">
        <v>50</v>
      </c>
      <c r="F63" s="10" t="s">
        <v>19</v>
      </c>
      <c r="G63" s="10" t="s">
        <v>14</v>
      </c>
      <c r="H63" s="10" t="s">
        <v>28</v>
      </c>
      <c r="I63" s="14">
        <v>44986</v>
      </c>
      <c r="J63" s="10">
        <v>372</v>
      </c>
      <c r="K63" s="10">
        <v>235.58</v>
      </c>
      <c r="L63" s="10">
        <v>78.33</v>
      </c>
      <c r="M63" s="16">
        <v>87635.760000000009</v>
      </c>
      <c r="N63" s="16">
        <f t="shared" si="0"/>
        <v>87635.760000000009</v>
      </c>
    </row>
    <row r="64" spans="3:14" x14ac:dyDescent="0.35">
      <c r="C64" s="10" t="s">
        <v>89</v>
      </c>
      <c r="D64" s="10" t="s">
        <v>11</v>
      </c>
      <c r="E64" s="10" t="s">
        <v>31</v>
      </c>
      <c r="F64" s="10" t="s">
        <v>27</v>
      </c>
      <c r="G64" s="10" t="s">
        <v>24</v>
      </c>
      <c r="H64" s="10" t="s">
        <v>28</v>
      </c>
      <c r="I64" s="14">
        <v>44987</v>
      </c>
      <c r="J64" s="10">
        <v>54</v>
      </c>
      <c r="K64" s="10">
        <v>418.82</v>
      </c>
      <c r="L64" s="10">
        <v>86.28</v>
      </c>
      <c r="M64" s="16">
        <v>22616.28</v>
      </c>
      <c r="N64" s="16">
        <f t="shared" si="0"/>
        <v>22616.28</v>
      </c>
    </row>
    <row r="65" spans="3:14" x14ac:dyDescent="0.35">
      <c r="C65" s="10" t="s">
        <v>90</v>
      </c>
      <c r="D65" s="10" t="s">
        <v>11</v>
      </c>
      <c r="E65" s="10" t="s">
        <v>31</v>
      </c>
      <c r="F65" s="10" t="s">
        <v>19</v>
      </c>
      <c r="G65" s="10" t="s">
        <v>24</v>
      </c>
      <c r="H65" s="10" t="s">
        <v>15</v>
      </c>
      <c r="I65" s="14">
        <v>44988</v>
      </c>
      <c r="J65" s="10">
        <v>354</v>
      </c>
      <c r="K65" s="10">
        <v>121.72</v>
      </c>
      <c r="L65" s="10">
        <v>194.87</v>
      </c>
      <c r="M65" s="16">
        <v>43088.88</v>
      </c>
      <c r="N65" s="16">
        <f t="shared" si="0"/>
        <v>43088.88</v>
      </c>
    </row>
    <row r="66" spans="3:14" x14ac:dyDescent="0.35">
      <c r="C66" s="10" t="s">
        <v>91</v>
      </c>
      <c r="D66" s="10" t="s">
        <v>22</v>
      </c>
      <c r="E66" s="10" t="s">
        <v>31</v>
      </c>
      <c r="F66" s="10" t="s">
        <v>19</v>
      </c>
      <c r="G66" s="10" t="s">
        <v>14</v>
      </c>
      <c r="H66" s="10" t="s">
        <v>15</v>
      </c>
      <c r="I66" s="14">
        <v>44989</v>
      </c>
      <c r="J66" s="10">
        <v>190</v>
      </c>
      <c r="K66" s="10">
        <v>389.12</v>
      </c>
      <c r="L66" s="10">
        <v>302.19</v>
      </c>
      <c r="M66" s="16">
        <v>73932.800000000003</v>
      </c>
      <c r="N66" s="16">
        <f t="shared" si="0"/>
        <v>73932.800000000003</v>
      </c>
    </row>
    <row r="67" spans="3:14" x14ac:dyDescent="0.35">
      <c r="C67" s="10" t="s">
        <v>92</v>
      </c>
      <c r="D67" s="10"/>
      <c r="E67" s="10" t="s">
        <v>26</v>
      </c>
      <c r="F67" s="10" t="s">
        <v>13</v>
      </c>
      <c r="G67" s="10" t="s">
        <v>14</v>
      </c>
      <c r="H67" s="10" t="s">
        <v>15</v>
      </c>
      <c r="I67" s="14">
        <v>44990</v>
      </c>
      <c r="J67" s="10">
        <v>179</v>
      </c>
      <c r="K67" s="10">
        <v>205.63</v>
      </c>
      <c r="L67" s="10">
        <v>248.56</v>
      </c>
      <c r="M67" s="16">
        <v>36807.769999999997</v>
      </c>
      <c r="N67" s="16">
        <f t="shared" si="0"/>
        <v>36807.769999999997</v>
      </c>
    </row>
    <row r="68" spans="3:14" x14ac:dyDescent="0.35">
      <c r="C68" s="10" t="s">
        <v>93</v>
      </c>
      <c r="D68" s="10" t="s">
        <v>11</v>
      </c>
      <c r="E68" s="10" t="s">
        <v>50</v>
      </c>
      <c r="F68" s="10" t="s">
        <v>42</v>
      </c>
      <c r="G68" s="10" t="s">
        <v>24</v>
      </c>
      <c r="H68" s="10" t="s">
        <v>28</v>
      </c>
      <c r="I68" s="14">
        <v>44991</v>
      </c>
      <c r="J68" s="10">
        <v>365</v>
      </c>
      <c r="K68" s="10">
        <v>302.92</v>
      </c>
      <c r="L68" s="10">
        <v>120.35</v>
      </c>
      <c r="M68" s="16">
        <v>110565.8</v>
      </c>
      <c r="N68" s="16">
        <f t="shared" si="0"/>
        <v>110565.8</v>
      </c>
    </row>
    <row r="69" spans="3:14" x14ac:dyDescent="0.35">
      <c r="C69" s="10" t="s">
        <v>94</v>
      </c>
      <c r="D69" s="10" t="s">
        <v>48</v>
      </c>
      <c r="E69" s="10" t="s">
        <v>18</v>
      </c>
      <c r="F69" s="10" t="s">
        <v>19</v>
      </c>
      <c r="G69" s="10" t="s">
        <v>14</v>
      </c>
      <c r="H69" s="10" t="s">
        <v>28</v>
      </c>
      <c r="I69" s="14">
        <v>44992</v>
      </c>
      <c r="J69" s="10">
        <v>200</v>
      </c>
      <c r="K69" s="10">
        <v>318.11</v>
      </c>
      <c r="L69" s="10">
        <v>173.27</v>
      </c>
      <c r="M69" s="16">
        <v>63622</v>
      </c>
      <c r="N69" s="16">
        <f t="shared" ref="N69:N132" si="1">J69*K69</f>
        <v>63622</v>
      </c>
    </row>
    <row r="70" spans="3:14" x14ac:dyDescent="0.35">
      <c r="C70" s="10" t="s">
        <v>95</v>
      </c>
      <c r="D70" s="10" t="s">
        <v>17</v>
      </c>
      <c r="E70" s="10" t="s">
        <v>12</v>
      </c>
      <c r="F70" s="10" t="s">
        <v>23</v>
      </c>
      <c r="G70" s="10" t="s">
        <v>24</v>
      </c>
      <c r="H70" s="10" t="s">
        <v>20</v>
      </c>
      <c r="I70" s="14">
        <v>44993</v>
      </c>
      <c r="J70" s="10">
        <v>164</v>
      </c>
      <c r="K70" s="10">
        <v>189.56</v>
      </c>
      <c r="L70" s="10">
        <v>69.92</v>
      </c>
      <c r="M70" s="16">
        <v>31087.84</v>
      </c>
      <c r="N70" s="16">
        <f t="shared" si="1"/>
        <v>31087.84</v>
      </c>
    </row>
    <row r="71" spans="3:14" x14ac:dyDescent="0.35">
      <c r="C71" s="10" t="s">
        <v>96</v>
      </c>
      <c r="D71" s="10" t="s">
        <v>22</v>
      </c>
      <c r="E71" s="10" t="s">
        <v>18</v>
      </c>
      <c r="F71" s="10" t="s">
        <v>42</v>
      </c>
      <c r="G71" s="10" t="s">
        <v>14</v>
      </c>
      <c r="H71" s="10" t="s">
        <v>15</v>
      </c>
      <c r="I71" s="14">
        <v>44994</v>
      </c>
      <c r="J71" s="10">
        <v>431</v>
      </c>
      <c r="K71" s="10">
        <v>258.74</v>
      </c>
      <c r="L71" s="10">
        <v>31.7</v>
      </c>
      <c r="M71" s="16">
        <v>111516.94</v>
      </c>
      <c r="N71" s="16">
        <f t="shared" si="1"/>
        <v>111516.94</v>
      </c>
    </row>
    <row r="72" spans="3:14" x14ac:dyDescent="0.35">
      <c r="C72" s="10" t="s">
        <v>97</v>
      </c>
      <c r="D72" s="10" t="s">
        <v>17</v>
      </c>
      <c r="E72" s="10" t="s">
        <v>50</v>
      </c>
      <c r="F72" s="10" t="s">
        <v>42</v>
      </c>
      <c r="G72" s="10" t="s">
        <v>14</v>
      </c>
      <c r="H72" s="10" t="s">
        <v>28</v>
      </c>
      <c r="I72" s="14">
        <v>44995</v>
      </c>
      <c r="J72" s="10">
        <v>197</v>
      </c>
      <c r="K72" s="10">
        <v>209.45</v>
      </c>
      <c r="L72" s="10">
        <v>313.51</v>
      </c>
      <c r="M72" s="16">
        <v>41261.649999999987</v>
      </c>
      <c r="N72" s="16">
        <f t="shared" si="1"/>
        <v>41261.649999999994</v>
      </c>
    </row>
    <row r="73" spans="3:14" x14ac:dyDescent="0.35">
      <c r="C73" s="10" t="s">
        <v>98</v>
      </c>
      <c r="D73" s="10" t="s">
        <v>48</v>
      </c>
      <c r="E73" s="10" t="s">
        <v>12</v>
      </c>
      <c r="F73" s="10" t="s">
        <v>42</v>
      </c>
      <c r="G73" s="10" t="s">
        <v>14</v>
      </c>
      <c r="H73" s="10" t="s">
        <v>28</v>
      </c>
      <c r="I73" s="14">
        <v>44996</v>
      </c>
      <c r="J73" s="10">
        <v>16</v>
      </c>
      <c r="K73" s="10">
        <v>39.22</v>
      </c>
      <c r="L73" s="10">
        <v>107.62</v>
      </c>
      <c r="M73" s="16">
        <v>627.52</v>
      </c>
      <c r="N73" s="16">
        <f t="shared" si="1"/>
        <v>627.52</v>
      </c>
    </row>
    <row r="74" spans="3:14" x14ac:dyDescent="0.35">
      <c r="C74" s="10" t="s">
        <v>99</v>
      </c>
      <c r="D74" s="10" t="s">
        <v>48</v>
      </c>
      <c r="E74" s="10" t="s">
        <v>50</v>
      </c>
      <c r="F74" s="10" t="s">
        <v>13</v>
      </c>
      <c r="G74" s="10" t="s">
        <v>14</v>
      </c>
      <c r="H74" s="10" t="s">
        <v>15</v>
      </c>
      <c r="I74" s="14">
        <v>44997</v>
      </c>
      <c r="J74" s="10">
        <v>142</v>
      </c>
      <c r="K74" s="10">
        <v>221.4</v>
      </c>
      <c r="L74" s="10">
        <v>72.75</v>
      </c>
      <c r="M74" s="16">
        <v>31438.799999999999</v>
      </c>
      <c r="N74" s="16">
        <f t="shared" si="1"/>
        <v>31438.799999999999</v>
      </c>
    </row>
    <row r="75" spans="3:14" x14ac:dyDescent="0.35">
      <c r="C75" s="10" t="s">
        <v>100</v>
      </c>
      <c r="D75" s="10" t="s">
        <v>48</v>
      </c>
      <c r="E75" s="10" t="s">
        <v>31</v>
      </c>
      <c r="F75" s="10" t="s">
        <v>19</v>
      </c>
      <c r="G75" s="10" t="s">
        <v>14</v>
      </c>
      <c r="H75" s="10" t="s">
        <v>20</v>
      </c>
      <c r="I75" s="14">
        <v>44998</v>
      </c>
      <c r="J75" s="10">
        <v>244</v>
      </c>
      <c r="K75" s="10">
        <v>53.21</v>
      </c>
      <c r="L75" s="10">
        <v>277.26</v>
      </c>
      <c r="M75" s="16">
        <v>12983.24</v>
      </c>
      <c r="N75" s="16">
        <f t="shared" si="1"/>
        <v>12983.24</v>
      </c>
    </row>
    <row r="76" spans="3:14" x14ac:dyDescent="0.35">
      <c r="C76" s="10" t="s">
        <v>101</v>
      </c>
      <c r="D76" s="10" t="s">
        <v>22</v>
      </c>
      <c r="E76" s="10" t="s">
        <v>12</v>
      </c>
      <c r="F76" s="10" t="s">
        <v>13</v>
      </c>
      <c r="G76" s="10" t="s">
        <v>14</v>
      </c>
      <c r="H76" s="10" t="s">
        <v>15</v>
      </c>
      <c r="I76" s="14">
        <v>44999</v>
      </c>
      <c r="J76" s="10">
        <v>54</v>
      </c>
      <c r="K76" s="10">
        <v>205.49</v>
      </c>
      <c r="L76" s="10">
        <v>247.98</v>
      </c>
      <c r="M76" s="16">
        <v>11096.46</v>
      </c>
      <c r="N76" s="16">
        <f t="shared" si="1"/>
        <v>11096.460000000001</v>
      </c>
    </row>
    <row r="77" spans="3:14" x14ac:dyDescent="0.35">
      <c r="C77" s="10" t="s">
        <v>102</v>
      </c>
      <c r="D77" s="10" t="s">
        <v>48</v>
      </c>
      <c r="E77" s="10" t="s">
        <v>31</v>
      </c>
      <c r="F77" s="10" t="s">
        <v>19</v>
      </c>
      <c r="G77" s="10" t="s">
        <v>14</v>
      </c>
      <c r="H77" s="10" t="s">
        <v>20</v>
      </c>
      <c r="I77" s="14">
        <v>45000</v>
      </c>
      <c r="J77" s="10">
        <v>323</v>
      </c>
      <c r="K77" s="10">
        <v>298.49</v>
      </c>
      <c r="L77" s="10">
        <v>254.01</v>
      </c>
      <c r="M77" s="16">
        <v>96412.27</v>
      </c>
      <c r="N77" s="16">
        <f t="shared" si="1"/>
        <v>96412.27</v>
      </c>
    </row>
    <row r="78" spans="3:14" x14ac:dyDescent="0.35">
      <c r="C78" s="10" t="s">
        <v>103</v>
      </c>
      <c r="D78" s="10" t="s">
        <v>22</v>
      </c>
      <c r="E78" s="10" t="s">
        <v>18</v>
      </c>
      <c r="F78" s="10" t="s">
        <v>13</v>
      </c>
      <c r="G78" s="10" t="s">
        <v>24</v>
      </c>
      <c r="H78" s="10" t="s">
        <v>28</v>
      </c>
      <c r="I78" s="14">
        <v>45001</v>
      </c>
      <c r="J78" s="10">
        <v>258</v>
      </c>
      <c r="K78" s="10">
        <v>291.81</v>
      </c>
      <c r="L78" s="10">
        <v>93.1</v>
      </c>
      <c r="M78" s="16">
        <v>75286.98</v>
      </c>
      <c r="N78" s="16">
        <f t="shared" si="1"/>
        <v>75286.98</v>
      </c>
    </row>
    <row r="79" spans="3:14" x14ac:dyDescent="0.35">
      <c r="C79" s="10" t="s">
        <v>104</v>
      </c>
      <c r="D79" s="10" t="s">
        <v>48</v>
      </c>
      <c r="E79" s="10" t="s">
        <v>18</v>
      </c>
      <c r="F79" s="10" t="s">
        <v>13</v>
      </c>
      <c r="G79" s="10" t="s">
        <v>24</v>
      </c>
      <c r="H79" s="10" t="s">
        <v>20</v>
      </c>
      <c r="I79" s="14">
        <v>45002</v>
      </c>
      <c r="J79" s="10">
        <v>40</v>
      </c>
      <c r="K79" s="10">
        <v>333</v>
      </c>
      <c r="L79" s="10">
        <v>94.59</v>
      </c>
      <c r="M79" s="16">
        <v>13320</v>
      </c>
      <c r="N79" s="16">
        <f t="shared" si="1"/>
        <v>13320</v>
      </c>
    </row>
    <row r="80" spans="3:14" x14ac:dyDescent="0.35">
      <c r="C80" s="10" t="s">
        <v>105</v>
      </c>
      <c r="D80" s="10" t="s">
        <v>17</v>
      </c>
      <c r="E80" s="10" t="s">
        <v>12</v>
      </c>
      <c r="F80" s="10" t="s">
        <v>23</v>
      </c>
      <c r="G80" s="10" t="s">
        <v>24</v>
      </c>
      <c r="H80" s="10" t="s">
        <v>28</v>
      </c>
      <c r="I80" s="14">
        <v>45003</v>
      </c>
      <c r="J80" s="10">
        <v>32</v>
      </c>
      <c r="K80" s="10">
        <v>52.15</v>
      </c>
      <c r="L80" s="10">
        <v>89.88</v>
      </c>
      <c r="M80" s="16">
        <v>1668.8</v>
      </c>
      <c r="N80" s="16">
        <f t="shared" si="1"/>
        <v>1668.8</v>
      </c>
    </row>
    <row r="81" spans="3:14" x14ac:dyDescent="0.35">
      <c r="C81" s="10" t="s">
        <v>106</v>
      </c>
      <c r="D81" s="10" t="s">
        <v>17</v>
      </c>
      <c r="E81" s="10" t="s">
        <v>12</v>
      </c>
      <c r="F81" s="10" t="s">
        <v>13</v>
      </c>
      <c r="G81" s="10" t="s">
        <v>24</v>
      </c>
      <c r="H81" s="10" t="s">
        <v>15</v>
      </c>
      <c r="I81" s="14">
        <v>45004</v>
      </c>
      <c r="J81" s="10">
        <v>435</v>
      </c>
      <c r="K81" s="10">
        <v>327.8</v>
      </c>
      <c r="L81" s="10">
        <v>71.150000000000006</v>
      </c>
      <c r="M81" s="16">
        <v>142593</v>
      </c>
      <c r="N81" s="16">
        <f t="shared" si="1"/>
        <v>142593</v>
      </c>
    </row>
    <row r="82" spans="3:14" x14ac:dyDescent="0.35">
      <c r="C82" s="10" t="s">
        <v>107</v>
      </c>
      <c r="D82" s="10" t="s">
        <v>11</v>
      </c>
      <c r="E82" s="10" t="s">
        <v>50</v>
      </c>
      <c r="F82" s="10" t="s">
        <v>27</v>
      </c>
      <c r="G82" s="10" t="s">
        <v>24</v>
      </c>
      <c r="H82" s="10" t="s">
        <v>15</v>
      </c>
      <c r="I82" s="14">
        <v>45005</v>
      </c>
      <c r="J82" s="10">
        <v>403</v>
      </c>
      <c r="K82" s="10">
        <v>159.51</v>
      </c>
      <c r="L82" s="10">
        <v>262.98</v>
      </c>
      <c r="M82" s="16">
        <v>64282.53</v>
      </c>
      <c r="N82" s="16">
        <f t="shared" si="1"/>
        <v>64282.53</v>
      </c>
    </row>
    <row r="83" spans="3:14" x14ac:dyDescent="0.35">
      <c r="C83" s="10" t="s">
        <v>108</v>
      </c>
      <c r="D83" s="10" t="s">
        <v>17</v>
      </c>
      <c r="E83" s="10" t="s">
        <v>50</v>
      </c>
      <c r="F83" s="10" t="s">
        <v>23</v>
      </c>
      <c r="G83" s="10" t="s">
        <v>14</v>
      </c>
      <c r="H83" s="10" t="s">
        <v>15</v>
      </c>
      <c r="I83" s="14">
        <v>45006</v>
      </c>
      <c r="J83" s="10">
        <v>169</v>
      </c>
      <c r="K83" s="10">
        <v>294.60500000000002</v>
      </c>
      <c r="L83" s="10">
        <v>339.51</v>
      </c>
      <c r="M83" s="16">
        <v>49788.245000000003</v>
      </c>
      <c r="N83" s="16">
        <f t="shared" si="1"/>
        <v>49788.245000000003</v>
      </c>
    </row>
    <row r="84" spans="3:14" x14ac:dyDescent="0.35">
      <c r="C84" s="10" t="s">
        <v>109</v>
      </c>
      <c r="D84" s="10" t="s">
        <v>11</v>
      </c>
      <c r="E84" s="10" t="s">
        <v>31</v>
      </c>
      <c r="F84" s="10" t="s">
        <v>13</v>
      </c>
      <c r="G84" s="10" t="s">
        <v>14</v>
      </c>
      <c r="H84" s="10" t="s">
        <v>20</v>
      </c>
      <c r="I84" s="14">
        <v>45007</v>
      </c>
      <c r="J84" s="10">
        <v>372</v>
      </c>
      <c r="K84" s="10">
        <v>429.7</v>
      </c>
      <c r="L84" s="10">
        <v>290.27999999999997</v>
      </c>
      <c r="M84" s="16">
        <v>159848.4</v>
      </c>
      <c r="N84" s="16">
        <f t="shared" si="1"/>
        <v>159848.4</v>
      </c>
    </row>
    <row r="85" spans="3:14" x14ac:dyDescent="0.35">
      <c r="C85" s="10" t="s">
        <v>110</v>
      </c>
      <c r="D85" s="10" t="s">
        <v>17</v>
      </c>
      <c r="E85" s="10" t="s">
        <v>12</v>
      </c>
      <c r="F85" s="10" t="s">
        <v>42</v>
      </c>
      <c r="G85" s="10" t="s">
        <v>24</v>
      </c>
      <c r="H85" s="10" t="s">
        <v>28</v>
      </c>
      <c r="I85" s="14">
        <v>45008</v>
      </c>
      <c r="J85" s="10">
        <v>446</v>
      </c>
      <c r="K85" s="10">
        <v>9.4700000000000006</v>
      </c>
      <c r="L85" s="10">
        <v>317.25</v>
      </c>
      <c r="M85" s="16">
        <v>4223.62</v>
      </c>
      <c r="N85" s="16">
        <f t="shared" si="1"/>
        <v>4223.62</v>
      </c>
    </row>
    <row r="86" spans="3:14" x14ac:dyDescent="0.35">
      <c r="C86" s="10" t="s">
        <v>111</v>
      </c>
      <c r="D86" s="10" t="s">
        <v>22</v>
      </c>
      <c r="E86" s="10" t="s">
        <v>18</v>
      </c>
      <c r="F86" s="10" t="s">
        <v>27</v>
      </c>
      <c r="G86" s="10" t="s">
        <v>14</v>
      </c>
      <c r="H86" s="10" t="s">
        <v>15</v>
      </c>
      <c r="I86" s="14">
        <v>45009</v>
      </c>
      <c r="J86" s="10">
        <v>167</v>
      </c>
      <c r="K86" s="10">
        <v>296.26</v>
      </c>
      <c r="L86" s="10">
        <v>163.11000000000001</v>
      </c>
      <c r="M86" s="16">
        <v>49475.42</v>
      </c>
      <c r="N86" s="16">
        <f t="shared" si="1"/>
        <v>49475.42</v>
      </c>
    </row>
    <row r="87" spans="3:14" x14ac:dyDescent="0.35">
      <c r="C87" s="10" t="s">
        <v>112</v>
      </c>
      <c r="D87" s="10" t="s">
        <v>17</v>
      </c>
      <c r="E87" s="10" t="s">
        <v>50</v>
      </c>
      <c r="F87" s="10" t="s">
        <v>27</v>
      </c>
      <c r="G87" s="10" t="s">
        <v>24</v>
      </c>
      <c r="H87" s="10" t="s">
        <v>15</v>
      </c>
      <c r="I87" s="14">
        <v>45010</v>
      </c>
      <c r="J87" s="10">
        <v>48</v>
      </c>
      <c r="K87" s="10">
        <v>301.36</v>
      </c>
      <c r="L87" s="10">
        <v>262.32</v>
      </c>
      <c r="M87" s="16">
        <v>14465.28</v>
      </c>
      <c r="N87" s="16">
        <f t="shared" si="1"/>
        <v>14465.28</v>
      </c>
    </row>
    <row r="88" spans="3:14" x14ac:dyDescent="0.35">
      <c r="C88" s="10" t="s">
        <v>113</v>
      </c>
      <c r="D88" s="10" t="s">
        <v>11</v>
      </c>
      <c r="E88" s="10" t="s">
        <v>50</v>
      </c>
      <c r="F88" s="10" t="s">
        <v>27</v>
      </c>
      <c r="G88" s="10" t="s">
        <v>24</v>
      </c>
      <c r="H88" s="10" t="s">
        <v>28</v>
      </c>
      <c r="I88" s="14">
        <v>45011</v>
      </c>
      <c r="J88" s="10">
        <v>424</v>
      </c>
      <c r="K88" s="10">
        <v>201.35</v>
      </c>
      <c r="L88" s="10">
        <v>142.99</v>
      </c>
      <c r="M88" s="16">
        <v>85372.4</v>
      </c>
      <c r="N88" s="16">
        <f t="shared" si="1"/>
        <v>85372.4</v>
      </c>
    </row>
    <row r="89" spans="3:14" x14ac:dyDescent="0.35">
      <c r="C89" s="10" t="s">
        <v>114</v>
      </c>
      <c r="D89" s="10" t="s">
        <v>11</v>
      </c>
      <c r="E89" s="10" t="s">
        <v>18</v>
      </c>
      <c r="F89" s="10" t="s">
        <v>23</v>
      </c>
      <c r="G89" s="10" t="s">
        <v>14</v>
      </c>
      <c r="H89" s="10" t="s">
        <v>15</v>
      </c>
      <c r="I89" s="14">
        <v>45012</v>
      </c>
      <c r="J89" s="10">
        <v>91</v>
      </c>
      <c r="K89" s="10">
        <v>122.33</v>
      </c>
      <c r="L89" s="10">
        <v>211.15</v>
      </c>
      <c r="M89" s="16">
        <v>11132.03</v>
      </c>
      <c r="N89" s="16">
        <f t="shared" si="1"/>
        <v>11132.03</v>
      </c>
    </row>
    <row r="90" spans="3:14" x14ac:dyDescent="0.35">
      <c r="C90" s="10" t="s">
        <v>115</v>
      </c>
      <c r="D90" s="10" t="s">
        <v>48</v>
      </c>
      <c r="E90" s="10" t="s">
        <v>50</v>
      </c>
      <c r="F90" s="10" t="s">
        <v>13</v>
      </c>
      <c r="G90" s="10" t="s">
        <v>14</v>
      </c>
      <c r="H90" s="10" t="s">
        <v>28</v>
      </c>
      <c r="I90" s="14">
        <v>45013</v>
      </c>
      <c r="J90" s="10">
        <v>365</v>
      </c>
      <c r="K90" s="10">
        <v>121.16</v>
      </c>
      <c r="L90" s="10">
        <v>193.69</v>
      </c>
      <c r="M90" s="16">
        <v>44223.4</v>
      </c>
      <c r="N90" s="16">
        <f t="shared" si="1"/>
        <v>44223.4</v>
      </c>
    </row>
    <row r="91" spans="3:14" x14ac:dyDescent="0.35">
      <c r="C91" s="10" t="s">
        <v>116</v>
      </c>
      <c r="D91" s="10" t="s">
        <v>22</v>
      </c>
      <c r="E91" s="10" t="s">
        <v>31</v>
      </c>
      <c r="F91" s="10" t="s">
        <v>13</v>
      </c>
      <c r="G91" s="10" t="s">
        <v>14</v>
      </c>
      <c r="H91" s="10" t="s">
        <v>28</v>
      </c>
      <c r="I91" s="14">
        <v>45014</v>
      </c>
      <c r="J91" s="10">
        <v>267</v>
      </c>
      <c r="K91" s="10">
        <v>442.44</v>
      </c>
      <c r="L91" s="10">
        <v>72.400000000000006</v>
      </c>
      <c r="M91" s="16">
        <v>118131.48</v>
      </c>
      <c r="N91" s="16">
        <f t="shared" si="1"/>
        <v>118131.48</v>
      </c>
    </row>
    <row r="92" spans="3:14" x14ac:dyDescent="0.35">
      <c r="C92" s="10" t="s">
        <v>117</v>
      </c>
      <c r="D92" s="10" t="s">
        <v>17</v>
      </c>
      <c r="E92" s="10" t="s">
        <v>12</v>
      </c>
      <c r="F92" s="10" t="s">
        <v>42</v>
      </c>
      <c r="G92" s="10" t="s">
        <v>24</v>
      </c>
      <c r="H92" s="10" t="s">
        <v>28</v>
      </c>
      <c r="I92" s="14">
        <v>45015</v>
      </c>
      <c r="J92" s="10">
        <v>215</v>
      </c>
      <c r="K92" s="10">
        <v>223.8</v>
      </c>
      <c r="L92" s="10">
        <v>156.06</v>
      </c>
      <c r="M92" s="16">
        <v>48117</v>
      </c>
      <c r="N92" s="16">
        <f t="shared" si="1"/>
        <v>48117</v>
      </c>
    </row>
    <row r="93" spans="3:14" x14ac:dyDescent="0.35">
      <c r="C93" s="10" t="s">
        <v>118</v>
      </c>
      <c r="D93" s="10" t="s">
        <v>48</v>
      </c>
      <c r="E93" s="10" t="s">
        <v>18</v>
      </c>
      <c r="F93" s="10" t="s">
        <v>42</v>
      </c>
      <c r="G93" s="10" t="s">
        <v>14</v>
      </c>
      <c r="H93" s="10" t="s">
        <v>28</v>
      </c>
      <c r="I93" s="14">
        <v>45016</v>
      </c>
      <c r="J93" s="10">
        <v>86</v>
      </c>
      <c r="K93" s="10">
        <v>168.79</v>
      </c>
      <c r="L93" s="10">
        <v>385.6</v>
      </c>
      <c r="M93" s="16">
        <v>14515.94</v>
      </c>
      <c r="N93" s="16">
        <f t="shared" si="1"/>
        <v>14515.939999999999</v>
      </c>
    </row>
    <row r="94" spans="3:14" x14ac:dyDescent="0.35">
      <c r="C94" s="10" t="s">
        <v>119</v>
      </c>
      <c r="D94" s="10" t="s">
        <v>17</v>
      </c>
      <c r="E94" s="10" t="s">
        <v>12</v>
      </c>
      <c r="F94" s="10" t="s">
        <v>27</v>
      </c>
      <c r="G94" s="10" t="s">
        <v>24</v>
      </c>
      <c r="H94" s="10" t="s">
        <v>28</v>
      </c>
      <c r="I94" s="14">
        <v>45017</v>
      </c>
      <c r="J94" s="10">
        <v>486</v>
      </c>
      <c r="K94" s="10">
        <v>227.14</v>
      </c>
      <c r="L94" s="10">
        <v>100.93</v>
      </c>
      <c r="M94" s="16">
        <v>110390.04</v>
      </c>
      <c r="N94" s="16">
        <f t="shared" si="1"/>
        <v>110390.04</v>
      </c>
    </row>
    <row r="95" spans="3:14" x14ac:dyDescent="0.35">
      <c r="C95" s="10" t="s">
        <v>120</v>
      </c>
      <c r="D95" s="10" t="s">
        <v>17</v>
      </c>
      <c r="E95" s="10" t="s">
        <v>50</v>
      </c>
      <c r="F95" s="10" t="s">
        <v>42</v>
      </c>
      <c r="G95" s="10" t="s">
        <v>24</v>
      </c>
      <c r="H95" s="10" t="s">
        <v>20</v>
      </c>
      <c r="I95" s="14">
        <v>45018</v>
      </c>
      <c r="J95" s="10">
        <v>21</v>
      </c>
      <c r="K95" s="10">
        <v>152.14500000000001</v>
      </c>
      <c r="L95" s="10">
        <v>55.25</v>
      </c>
      <c r="M95" s="16">
        <v>3195.0450000000001</v>
      </c>
      <c r="N95" s="16">
        <f t="shared" si="1"/>
        <v>3195.0450000000001</v>
      </c>
    </row>
    <row r="96" spans="3:14" x14ac:dyDescent="0.35">
      <c r="C96" s="10" t="s">
        <v>121</v>
      </c>
      <c r="D96" s="10" t="s">
        <v>48</v>
      </c>
      <c r="E96" s="10" t="s">
        <v>50</v>
      </c>
      <c r="F96" s="10" t="s">
        <v>23</v>
      </c>
      <c r="G96" s="10" t="s">
        <v>24</v>
      </c>
      <c r="H96" s="10" t="s">
        <v>15</v>
      </c>
      <c r="I96" s="14">
        <v>45019</v>
      </c>
      <c r="J96" s="10">
        <v>304</v>
      </c>
      <c r="K96" s="10">
        <v>77.150000000000006</v>
      </c>
      <c r="L96" s="10">
        <v>168.6</v>
      </c>
      <c r="M96" s="16">
        <v>23453.599999999999</v>
      </c>
      <c r="N96" s="16">
        <f t="shared" si="1"/>
        <v>23453.600000000002</v>
      </c>
    </row>
    <row r="97" spans="3:14" x14ac:dyDescent="0.35">
      <c r="C97" s="10" t="s">
        <v>122</v>
      </c>
      <c r="D97" s="10" t="s">
        <v>48</v>
      </c>
      <c r="E97" s="10" t="s">
        <v>18</v>
      </c>
      <c r="F97" s="10" t="s">
        <v>13</v>
      </c>
      <c r="G97" s="10" t="s">
        <v>14</v>
      </c>
      <c r="H97" s="10" t="s">
        <v>20</v>
      </c>
      <c r="I97" s="14">
        <v>45020</v>
      </c>
      <c r="J97" s="10">
        <v>459</v>
      </c>
      <c r="K97" s="10">
        <v>227.47</v>
      </c>
      <c r="L97" s="10">
        <v>316.55</v>
      </c>
      <c r="M97" s="16">
        <v>104408.73</v>
      </c>
      <c r="N97" s="16">
        <f t="shared" si="1"/>
        <v>104408.73</v>
      </c>
    </row>
    <row r="98" spans="3:14" x14ac:dyDescent="0.35">
      <c r="C98" s="10" t="s">
        <v>123</v>
      </c>
      <c r="D98" s="10" t="s">
        <v>48</v>
      </c>
      <c r="E98" s="10" t="s">
        <v>31</v>
      </c>
      <c r="F98" s="10" t="s">
        <v>27</v>
      </c>
      <c r="G98" s="10" t="s">
        <v>14</v>
      </c>
      <c r="H98" s="10" t="s">
        <v>15</v>
      </c>
      <c r="I98" s="14">
        <v>45021</v>
      </c>
      <c r="J98" s="10">
        <v>233</v>
      </c>
      <c r="K98" s="10">
        <v>296</v>
      </c>
      <c r="L98" s="10">
        <v>233.69</v>
      </c>
      <c r="M98" s="16">
        <v>68968</v>
      </c>
      <c r="N98" s="16">
        <f t="shared" si="1"/>
        <v>68968</v>
      </c>
    </row>
    <row r="99" spans="3:14" x14ac:dyDescent="0.35">
      <c r="C99" s="10" t="s">
        <v>124</v>
      </c>
      <c r="D99" s="10" t="s">
        <v>48</v>
      </c>
      <c r="E99" s="10" t="s">
        <v>26</v>
      </c>
      <c r="F99" s="10" t="s">
        <v>42</v>
      </c>
      <c r="G99" s="10" t="s">
        <v>24</v>
      </c>
      <c r="H99" s="10" t="s">
        <v>20</v>
      </c>
      <c r="I99" s="14">
        <v>45022</v>
      </c>
      <c r="J99" s="10">
        <v>22</v>
      </c>
      <c r="K99" s="10">
        <v>474.55</v>
      </c>
      <c r="L99" s="10">
        <v>273.02999999999997</v>
      </c>
      <c r="M99" s="16">
        <v>10440.1</v>
      </c>
      <c r="N99" s="16">
        <f t="shared" si="1"/>
        <v>10440.1</v>
      </c>
    </row>
    <row r="100" spans="3:14" x14ac:dyDescent="0.35">
      <c r="C100" s="10" t="s">
        <v>125</v>
      </c>
      <c r="D100" s="10" t="s">
        <v>48</v>
      </c>
      <c r="E100" s="10" t="s">
        <v>18</v>
      </c>
      <c r="F100" s="10" t="s">
        <v>23</v>
      </c>
      <c r="G100" s="10" t="s">
        <v>14</v>
      </c>
      <c r="H100" s="10" t="s">
        <v>28</v>
      </c>
      <c r="I100" s="14">
        <v>45023</v>
      </c>
      <c r="J100" s="10">
        <v>55</v>
      </c>
      <c r="K100" s="10">
        <v>130</v>
      </c>
      <c r="L100" s="10">
        <v>77.5</v>
      </c>
      <c r="M100" s="16">
        <v>7150</v>
      </c>
      <c r="N100" s="16">
        <f t="shared" si="1"/>
        <v>7150</v>
      </c>
    </row>
    <row r="101" spans="3:14" x14ac:dyDescent="0.35">
      <c r="C101" s="10" t="s">
        <v>126</v>
      </c>
      <c r="D101" s="10" t="s">
        <v>17</v>
      </c>
      <c r="E101" s="10" t="s">
        <v>26</v>
      </c>
      <c r="F101" s="10" t="s">
        <v>23</v>
      </c>
      <c r="G101" s="10" t="s">
        <v>14</v>
      </c>
      <c r="H101" s="10" t="s">
        <v>15</v>
      </c>
      <c r="I101" s="14">
        <v>45024</v>
      </c>
      <c r="J101" s="10">
        <v>164</v>
      </c>
      <c r="K101" s="10">
        <v>182.83</v>
      </c>
      <c r="L101" s="10">
        <v>248.34</v>
      </c>
      <c r="M101" s="16">
        <v>29984.12</v>
      </c>
      <c r="N101" s="16">
        <f t="shared" si="1"/>
        <v>29984.120000000003</v>
      </c>
    </row>
    <row r="102" spans="3:14" x14ac:dyDescent="0.35">
      <c r="C102" s="10" t="s">
        <v>127</v>
      </c>
      <c r="D102" s="10" t="s">
        <v>48</v>
      </c>
      <c r="E102" s="10" t="s">
        <v>26</v>
      </c>
      <c r="F102" s="10" t="s">
        <v>42</v>
      </c>
      <c r="G102" s="10" t="s">
        <v>14</v>
      </c>
      <c r="H102" s="10" t="s">
        <v>15</v>
      </c>
      <c r="I102" s="14">
        <v>45025</v>
      </c>
      <c r="J102" s="10">
        <v>122</v>
      </c>
      <c r="K102" s="10">
        <v>192.78</v>
      </c>
      <c r="L102" s="10">
        <v>130.75</v>
      </c>
      <c r="M102" s="16">
        <v>23519.16</v>
      </c>
      <c r="N102" s="16">
        <f t="shared" si="1"/>
        <v>23519.16</v>
      </c>
    </row>
    <row r="103" spans="3:14" x14ac:dyDescent="0.35">
      <c r="C103" s="10" t="s">
        <v>128</v>
      </c>
      <c r="D103" s="10" t="s">
        <v>22</v>
      </c>
      <c r="E103" s="10" t="s">
        <v>31</v>
      </c>
      <c r="F103" s="10" t="s">
        <v>13</v>
      </c>
      <c r="G103" s="10" t="s">
        <v>24</v>
      </c>
      <c r="H103" s="10" t="s">
        <v>20</v>
      </c>
      <c r="I103" s="14">
        <v>45026</v>
      </c>
      <c r="J103" s="10">
        <v>242</v>
      </c>
      <c r="K103" s="10">
        <v>304.74</v>
      </c>
      <c r="L103" s="10">
        <v>334.05</v>
      </c>
      <c r="M103" s="16">
        <v>73747.08</v>
      </c>
      <c r="N103" s="16">
        <f t="shared" si="1"/>
        <v>73747.08</v>
      </c>
    </row>
    <row r="104" spans="3:14" x14ac:dyDescent="0.35">
      <c r="C104" s="10" t="s">
        <v>129</v>
      </c>
      <c r="D104" s="10" t="s">
        <v>11</v>
      </c>
      <c r="E104" s="10" t="s">
        <v>26</v>
      </c>
      <c r="F104" s="10" t="s">
        <v>42</v>
      </c>
      <c r="G104" s="10" t="s">
        <v>24</v>
      </c>
      <c r="H104" s="10" t="s">
        <v>20</v>
      </c>
      <c r="I104" s="14">
        <v>45027</v>
      </c>
      <c r="J104" s="10">
        <v>26</v>
      </c>
      <c r="K104" s="10">
        <v>181.58</v>
      </c>
      <c r="L104" s="10">
        <v>252.46</v>
      </c>
      <c r="M104" s="16">
        <v>4721.08</v>
      </c>
      <c r="N104" s="16">
        <f t="shared" si="1"/>
        <v>4721.08</v>
      </c>
    </row>
    <row r="105" spans="3:14" x14ac:dyDescent="0.35">
      <c r="C105" s="10" t="s">
        <v>130</v>
      </c>
      <c r="D105" s="10" t="s">
        <v>48</v>
      </c>
      <c r="E105" s="10" t="s">
        <v>26</v>
      </c>
      <c r="F105" s="10" t="s">
        <v>27</v>
      </c>
      <c r="G105" s="10" t="s">
        <v>14</v>
      </c>
      <c r="H105" s="10" t="s">
        <v>15</v>
      </c>
      <c r="I105" s="14">
        <v>45028</v>
      </c>
      <c r="J105" s="10">
        <v>369</v>
      </c>
      <c r="K105" s="10">
        <v>269.08999999999997</v>
      </c>
      <c r="L105" s="10">
        <v>81.14</v>
      </c>
      <c r="M105" s="16">
        <v>99294.209999999992</v>
      </c>
      <c r="N105" s="16">
        <f t="shared" si="1"/>
        <v>99294.209999999992</v>
      </c>
    </row>
    <row r="106" spans="3:14" x14ac:dyDescent="0.35">
      <c r="C106" s="10" t="s">
        <v>131</v>
      </c>
      <c r="D106" s="10" t="s">
        <v>48</v>
      </c>
      <c r="E106" s="10" t="s">
        <v>31</v>
      </c>
      <c r="F106" s="10" t="s">
        <v>42</v>
      </c>
      <c r="G106" s="10" t="s">
        <v>24</v>
      </c>
      <c r="H106" s="10" t="s">
        <v>20</v>
      </c>
      <c r="I106" s="14">
        <v>45029</v>
      </c>
      <c r="J106" s="10">
        <v>232</v>
      </c>
      <c r="K106" s="10">
        <v>391.99</v>
      </c>
      <c r="L106" s="10">
        <v>27.72</v>
      </c>
      <c r="M106" s="16">
        <v>90941.680000000008</v>
      </c>
      <c r="N106" s="16">
        <f t="shared" si="1"/>
        <v>90941.680000000008</v>
      </c>
    </row>
    <row r="107" spans="3:14" x14ac:dyDescent="0.35">
      <c r="C107" s="10" t="s">
        <v>132</v>
      </c>
      <c r="D107" s="10" t="s">
        <v>17</v>
      </c>
      <c r="E107" s="10" t="s">
        <v>26</v>
      </c>
      <c r="F107" s="10" t="s">
        <v>23</v>
      </c>
      <c r="G107" s="10" t="s">
        <v>14</v>
      </c>
      <c r="H107" s="10" t="s">
        <v>20</v>
      </c>
      <c r="I107" s="14">
        <v>45030</v>
      </c>
      <c r="J107" s="10">
        <v>363</v>
      </c>
      <c r="K107" s="10">
        <v>354.17</v>
      </c>
      <c r="L107" s="10">
        <v>18.97</v>
      </c>
      <c r="M107" s="16">
        <v>128563.71</v>
      </c>
      <c r="N107" s="16">
        <f t="shared" si="1"/>
        <v>128563.71</v>
      </c>
    </row>
    <row r="108" spans="3:14" x14ac:dyDescent="0.35">
      <c r="C108" s="10" t="s">
        <v>133</v>
      </c>
      <c r="D108" s="10" t="s">
        <v>48</v>
      </c>
      <c r="E108" s="10" t="s">
        <v>26</v>
      </c>
      <c r="F108" s="10" t="s">
        <v>42</v>
      </c>
      <c r="G108" s="10" t="s">
        <v>14</v>
      </c>
      <c r="H108" s="10" t="s">
        <v>20</v>
      </c>
      <c r="I108" s="14">
        <v>45031</v>
      </c>
      <c r="J108" s="10">
        <v>197</v>
      </c>
      <c r="K108" s="10">
        <v>225.95</v>
      </c>
      <c r="L108" s="10">
        <v>149.82</v>
      </c>
      <c r="M108" s="16">
        <v>44512.149999999987</v>
      </c>
      <c r="N108" s="16">
        <f t="shared" si="1"/>
        <v>44512.149999999994</v>
      </c>
    </row>
    <row r="109" spans="3:14" x14ac:dyDescent="0.35">
      <c r="C109" s="10" t="s">
        <v>134</v>
      </c>
      <c r="D109" s="10" t="s">
        <v>48</v>
      </c>
      <c r="E109" s="10" t="s">
        <v>26</v>
      </c>
      <c r="F109" s="10" t="s">
        <v>13</v>
      </c>
      <c r="G109" s="10" t="s">
        <v>14</v>
      </c>
      <c r="H109" s="10" t="s">
        <v>28</v>
      </c>
      <c r="I109" s="14">
        <v>45032</v>
      </c>
      <c r="J109" s="10">
        <v>457</v>
      </c>
      <c r="K109" s="10">
        <v>432.79</v>
      </c>
      <c r="L109" s="10">
        <v>107.81</v>
      </c>
      <c r="M109" s="16">
        <v>197785.03</v>
      </c>
      <c r="N109" s="16">
        <f t="shared" si="1"/>
        <v>197785.03</v>
      </c>
    </row>
    <row r="110" spans="3:14" x14ac:dyDescent="0.35">
      <c r="C110" s="10" t="s">
        <v>135</v>
      </c>
      <c r="D110" s="10" t="s">
        <v>48</v>
      </c>
      <c r="E110" s="10" t="s">
        <v>18</v>
      </c>
      <c r="F110" s="10" t="s">
        <v>19</v>
      </c>
      <c r="G110" s="10" t="s">
        <v>14</v>
      </c>
      <c r="H110" s="10" t="s">
        <v>28</v>
      </c>
      <c r="I110" s="14">
        <v>45033</v>
      </c>
      <c r="J110" s="10">
        <v>353</v>
      </c>
      <c r="K110" s="10">
        <v>281.27999999999997</v>
      </c>
      <c r="L110" s="10">
        <v>259.14</v>
      </c>
      <c r="M110" s="16">
        <v>99291.839999999997</v>
      </c>
      <c r="N110" s="16">
        <f t="shared" si="1"/>
        <v>99291.839999999997</v>
      </c>
    </row>
    <row r="111" spans="3:14" x14ac:dyDescent="0.35">
      <c r="C111" s="10" t="s">
        <v>136</v>
      </c>
      <c r="D111" s="10" t="s">
        <v>17</v>
      </c>
      <c r="E111" s="10" t="s">
        <v>18</v>
      </c>
      <c r="F111" s="10" t="s">
        <v>42</v>
      </c>
      <c r="G111" s="10" t="s">
        <v>24</v>
      </c>
      <c r="H111" s="10" t="s">
        <v>20</v>
      </c>
      <c r="I111" s="14">
        <v>45034</v>
      </c>
      <c r="J111" s="10">
        <v>374</v>
      </c>
      <c r="K111" s="10">
        <v>272.25</v>
      </c>
      <c r="L111" s="10">
        <v>200.73</v>
      </c>
      <c r="M111" s="16">
        <v>101821.5</v>
      </c>
      <c r="N111" s="16">
        <f t="shared" si="1"/>
        <v>101821.5</v>
      </c>
    </row>
    <row r="112" spans="3:14" x14ac:dyDescent="0.35">
      <c r="C112" s="10" t="s">
        <v>137</v>
      </c>
      <c r="D112" s="10" t="s">
        <v>48</v>
      </c>
      <c r="E112" s="10" t="s">
        <v>18</v>
      </c>
      <c r="F112" s="10" t="s">
        <v>13</v>
      </c>
      <c r="G112" s="10" t="s">
        <v>24</v>
      </c>
      <c r="H112" s="10" t="s">
        <v>20</v>
      </c>
      <c r="I112" s="14">
        <v>45035</v>
      </c>
      <c r="J112" s="10">
        <v>172</v>
      </c>
      <c r="K112" s="10">
        <v>21.92</v>
      </c>
      <c r="L112" s="10">
        <v>107.88</v>
      </c>
      <c r="M112" s="16">
        <v>3770.24</v>
      </c>
      <c r="N112" s="16">
        <f t="shared" si="1"/>
        <v>3770.2400000000002</v>
      </c>
    </row>
    <row r="113" spans="3:14" x14ac:dyDescent="0.35">
      <c r="C113" s="10" t="s">
        <v>138</v>
      </c>
      <c r="D113" s="10" t="s">
        <v>11</v>
      </c>
      <c r="E113" s="10" t="s">
        <v>31</v>
      </c>
      <c r="F113" s="10" t="s">
        <v>13</v>
      </c>
      <c r="G113" s="10" t="s">
        <v>24</v>
      </c>
      <c r="H113" s="10" t="s">
        <v>28</v>
      </c>
      <c r="I113" s="14">
        <v>45036</v>
      </c>
      <c r="J113" s="10">
        <v>335</v>
      </c>
      <c r="K113" s="10">
        <v>493.41</v>
      </c>
      <c r="L113" s="10">
        <v>61.4</v>
      </c>
      <c r="M113" s="16">
        <v>165292.35</v>
      </c>
      <c r="N113" s="16">
        <f t="shared" si="1"/>
        <v>165292.35</v>
      </c>
    </row>
    <row r="114" spans="3:14" x14ac:dyDescent="0.35">
      <c r="C114" s="10" t="s">
        <v>139</v>
      </c>
      <c r="D114" s="10" t="s">
        <v>17</v>
      </c>
      <c r="E114" s="10" t="s">
        <v>50</v>
      </c>
      <c r="F114" s="10" t="s">
        <v>23</v>
      </c>
      <c r="G114" s="10" t="s">
        <v>14</v>
      </c>
      <c r="H114" s="10" t="s">
        <v>28</v>
      </c>
      <c r="I114" s="14">
        <v>45037</v>
      </c>
      <c r="J114" s="10">
        <v>476</v>
      </c>
      <c r="K114" s="10">
        <v>65.87</v>
      </c>
      <c r="L114" s="10">
        <v>52.63</v>
      </c>
      <c r="M114" s="16">
        <v>31354.12</v>
      </c>
      <c r="N114" s="16">
        <f t="shared" si="1"/>
        <v>31354.120000000003</v>
      </c>
    </row>
    <row r="115" spans="3:14" x14ac:dyDescent="0.35">
      <c r="C115" s="10" t="s">
        <v>140</v>
      </c>
      <c r="D115" s="10" t="s">
        <v>11</v>
      </c>
      <c r="E115" s="10" t="s">
        <v>26</v>
      </c>
      <c r="F115" s="10" t="s">
        <v>13</v>
      </c>
      <c r="G115" s="10" t="s">
        <v>14</v>
      </c>
      <c r="H115" s="10" t="s">
        <v>15</v>
      </c>
      <c r="I115" s="14">
        <v>45038</v>
      </c>
      <c r="J115" s="10">
        <v>423</v>
      </c>
      <c r="K115" s="10">
        <v>119.41</v>
      </c>
      <c r="L115" s="10">
        <v>346.13</v>
      </c>
      <c r="M115" s="16">
        <v>50510.43</v>
      </c>
      <c r="N115" s="16">
        <f t="shared" si="1"/>
        <v>50510.43</v>
      </c>
    </row>
    <row r="116" spans="3:14" x14ac:dyDescent="0.35">
      <c r="C116" s="10" t="s">
        <v>141</v>
      </c>
      <c r="D116" s="10" t="s">
        <v>17</v>
      </c>
      <c r="E116" s="10" t="s">
        <v>26</v>
      </c>
      <c r="F116" s="10" t="s">
        <v>13</v>
      </c>
      <c r="G116" s="10" t="s">
        <v>14</v>
      </c>
      <c r="H116" s="10" t="s">
        <v>15</v>
      </c>
      <c r="I116" s="14">
        <v>45039</v>
      </c>
      <c r="J116" s="10">
        <v>464</v>
      </c>
      <c r="K116" s="10">
        <v>30.59</v>
      </c>
      <c r="L116" s="10">
        <v>98.9</v>
      </c>
      <c r="M116" s="16">
        <v>14193.76</v>
      </c>
      <c r="N116" s="16">
        <f t="shared" si="1"/>
        <v>14193.76</v>
      </c>
    </row>
    <row r="117" spans="3:14" x14ac:dyDescent="0.35">
      <c r="C117" s="10" t="s">
        <v>142</v>
      </c>
      <c r="D117" s="10" t="s">
        <v>48</v>
      </c>
      <c r="E117" s="10" t="s">
        <v>31</v>
      </c>
      <c r="F117" s="10" t="s">
        <v>13</v>
      </c>
      <c r="G117" s="10" t="s">
        <v>24</v>
      </c>
      <c r="H117" s="10" t="s">
        <v>28</v>
      </c>
      <c r="I117" s="14">
        <v>45040</v>
      </c>
      <c r="J117" s="10">
        <v>83</v>
      </c>
      <c r="K117" s="10">
        <v>321.8</v>
      </c>
      <c r="L117" s="10">
        <v>261.38</v>
      </c>
      <c r="M117" s="16">
        <v>26709.4</v>
      </c>
      <c r="N117" s="16">
        <f t="shared" si="1"/>
        <v>26709.4</v>
      </c>
    </row>
    <row r="118" spans="3:14" x14ac:dyDescent="0.35">
      <c r="C118" s="10" t="s">
        <v>143</v>
      </c>
      <c r="D118" s="10" t="s">
        <v>11</v>
      </c>
      <c r="E118" s="10" t="s">
        <v>26</v>
      </c>
      <c r="F118" s="10" t="s">
        <v>13</v>
      </c>
      <c r="G118" s="10" t="s">
        <v>14</v>
      </c>
      <c r="H118" s="10" t="s">
        <v>20</v>
      </c>
      <c r="I118" s="14">
        <v>45041</v>
      </c>
      <c r="J118" s="10">
        <v>242</v>
      </c>
      <c r="K118" s="10">
        <v>116.23</v>
      </c>
      <c r="L118" s="10">
        <v>324.64999999999998</v>
      </c>
      <c r="M118" s="16">
        <v>28127.66</v>
      </c>
      <c r="N118" s="16">
        <f t="shared" si="1"/>
        <v>28127.66</v>
      </c>
    </row>
    <row r="119" spans="3:14" x14ac:dyDescent="0.35">
      <c r="C119" s="10" t="s">
        <v>144</v>
      </c>
      <c r="D119" s="10" t="s">
        <v>17</v>
      </c>
      <c r="E119" s="10" t="s">
        <v>18</v>
      </c>
      <c r="F119" s="10" t="s">
        <v>27</v>
      </c>
      <c r="G119" s="10" t="s">
        <v>24</v>
      </c>
      <c r="H119" s="10" t="s">
        <v>20</v>
      </c>
      <c r="I119" s="14">
        <v>45042</v>
      </c>
      <c r="J119" s="10">
        <v>233</v>
      </c>
      <c r="K119" s="10">
        <v>94.11</v>
      </c>
      <c r="L119" s="10">
        <v>246.4</v>
      </c>
      <c r="M119" s="16">
        <v>21927.63</v>
      </c>
      <c r="N119" s="16">
        <f t="shared" si="1"/>
        <v>21927.63</v>
      </c>
    </row>
    <row r="120" spans="3:14" x14ac:dyDescent="0.35">
      <c r="C120" s="10" t="s">
        <v>145</v>
      </c>
      <c r="D120" s="10" t="s">
        <v>22</v>
      </c>
      <c r="E120" s="10" t="s">
        <v>50</v>
      </c>
      <c r="F120" s="10" t="s">
        <v>27</v>
      </c>
      <c r="G120" s="10" t="s">
        <v>24</v>
      </c>
      <c r="H120" s="10" t="s">
        <v>20</v>
      </c>
      <c r="I120" s="14">
        <v>45043</v>
      </c>
      <c r="J120" s="10">
        <v>491</v>
      </c>
      <c r="K120" s="10">
        <v>48.84</v>
      </c>
      <c r="L120" s="10">
        <v>344.11</v>
      </c>
      <c r="M120" s="16">
        <v>23980.44</v>
      </c>
      <c r="N120" s="16">
        <f t="shared" si="1"/>
        <v>23980.440000000002</v>
      </c>
    </row>
    <row r="121" spans="3:14" x14ac:dyDescent="0.35">
      <c r="C121" s="10" t="s">
        <v>146</v>
      </c>
      <c r="D121" s="10"/>
      <c r="E121" s="10" t="s">
        <v>12</v>
      </c>
      <c r="F121" s="10" t="s">
        <v>23</v>
      </c>
      <c r="G121" s="10" t="s">
        <v>24</v>
      </c>
      <c r="H121" s="10" t="s">
        <v>20</v>
      </c>
      <c r="I121" s="14">
        <v>45044</v>
      </c>
      <c r="J121" s="10">
        <v>328</v>
      </c>
      <c r="K121" s="10">
        <v>56.14</v>
      </c>
      <c r="L121" s="10">
        <v>158.16999999999999</v>
      </c>
      <c r="M121" s="16">
        <v>18413.919999999998</v>
      </c>
      <c r="N121" s="16">
        <f t="shared" si="1"/>
        <v>18413.920000000002</v>
      </c>
    </row>
    <row r="122" spans="3:14" x14ac:dyDescent="0.35">
      <c r="C122" s="10" t="s">
        <v>147</v>
      </c>
      <c r="D122" s="10" t="s">
        <v>17</v>
      </c>
      <c r="E122" s="10" t="s">
        <v>26</v>
      </c>
      <c r="F122" s="10" t="s">
        <v>42</v>
      </c>
      <c r="G122" s="10" t="s">
        <v>24</v>
      </c>
      <c r="H122" s="10" t="s">
        <v>15</v>
      </c>
      <c r="I122" s="14">
        <v>45045</v>
      </c>
      <c r="J122" s="10">
        <v>421</v>
      </c>
      <c r="K122" s="10">
        <v>294.41000000000003</v>
      </c>
      <c r="L122" s="10">
        <v>382.58</v>
      </c>
      <c r="M122" s="16">
        <v>123946.61</v>
      </c>
      <c r="N122" s="16">
        <f t="shared" si="1"/>
        <v>123946.61000000002</v>
      </c>
    </row>
    <row r="123" spans="3:14" x14ac:dyDescent="0.35">
      <c r="C123" s="10" t="s">
        <v>148</v>
      </c>
      <c r="D123" s="10" t="s">
        <v>22</v>
      </c>
      <c r="E123" s="10" t="s">
        <v>18</v>
      </c>
      <c r="F123" s="10" t="s">
        <v>13</v>
      </c>
      <c r="G123" s="10" t="s">
        <v>24</v>
      </c>
      <c r="H123" s="10" t="s">
        <v>28</v>
      </c>
      <c r="I123" s="14">
        <v>45046</v>
      </c>
      <c r="J123" s="10">
        <v>69</v>
      </c>
      <c r="K123" s="10">
        <v>345.66</v>
      </c>
      <c r="L123" s="10">
        <v>54.99</v>
      </c>
      <c r="M123" s="16">
        <v>23850.54</v>
      </c>
      <c r="N123" s="16">
        <f t="shared" si="1"/>
        <v>23850.54</v>
      </c>
    </row>
    <row r="124" spans="3:14" x14ac:dyDescent="0.35">
      <c r="C124" s="10" t="s">
        <v>149</v>
      </c>
      <c r="D124" s="10" t="s">
        <v>17</v>
      </c>
      <c r="E124" s="10" t="s">
        <v>12</v>
      </c>
      <c r="F124" s="10" t="s">
        <v>42</v>
      </c>
      <c r="G124" s="10" t="s">
        <v>24</v>
      </c>
      <c r="H124" s="10" t="s">
        <v>20</v>
      </c>
      <c r="I124" s="14">
        <v>45047</v>
      </c>
      <c r="J124" s="10">
        <v>344</v>
      </c>
      <c r="K124" s="10">
        <v>201.7</v>
      </c>
      <c r="L124" s="10">
        <v>42.66</v>
      </c>
      <c r="M124" s="16">
        <v>69384.800000000003</v>
      </c>
      <c r="N124" s="16">
        <f t="shared" si="1"/>
        <v>69384.800000000003</v>
      </c>
    </row>
    <row r="125" spans="3:14" x14ac:dyDescent="0.35">
      <c r="C125" s="10" t="s">
        <v>150</v>
      </c>
      <c r="D125" s="10"/>
      <c r="E125" s="10" t="s">
        <v>50</v>
      </c>
      <c r="F125" s="10" t="s">
        <v>42</v>
      </c>
      <c r="G125" s="10" t="s">
        <v>14</v>
      </c>
      <c r="H125" s="10" t="s">
        <v>15</v>
      </c>
      <c r="I125" s="14">
        <v>45048</v>
      </c>
      <c r="J125" s="10">
        <v>231</v>
      </c>
      <c r="K125" s="10">
        <v>242.55</v>
      </c>
      <c r="L125" s="10">
        <v>264.16000000000003</v>
      </c>
      <c r="M125" s="16">
        <v>56029.05</v>
      </c>
      <c r="N125" s="16">
        <f t="shared" si="1"/>
        <v>56029.05</v>
      </c>
    </row>
    <row r="126" spans="3:14" x14ac:dyDescent="0.35">
      <c r="C126" s="10" t="s">
        <v>151</v>
      </c>
      <c r="D126" s="10" t="s">
        <v>48</v>
      </c>
      <c r="E126" s="10" t="s">
        <v>12</v>
      </c>
      <c r="F126" s="10" t="s">
        <v>23</v>
      </c>
      <c r="G126" s="10" t="s">
        <v>14</v>
      </c>
      <c r="H126" s="10" t="s">
        <v>20</v>
      </c>
      <c r="I126" s="14">
        <v>45049</v>
      </c>
      <c r="J126" s="10">
        <v>46</v>
      </c>
      <c r="K126" s="10">
        <v>344.55</v>
      </c>
      <c r="L126" s="10">
        <v>377.25</v>
      </c>
      <c r="M126" s="16">
        <v>15849.3</v>
      </c>
      <c r="N126" s="16">
        <f t="shared" si="1"/>
        <v>15849.300000000001</v>
      </c>
    </row>
    <row r="127" spans="3:14" x14ac:dyDescent="0.35">
      <c r="C127" s="10" t="s">
        <v>152</v>
      </c>
      <c r="D127" s="10" t="s">
        <v>11</v>
      </c>
      <c r="E127" s="10" t="s">
        <v>18</v>
      </c>
      <c r="F127" s="10" t="s">
        <v>13</v>
      </c>
      <c r="G127" s="10" t="s">
        <v>24</v>
      </c>
      <c r="H127" s="10" t="s">
        <v>28</v>
      </c>
      <c r="I127" s="14">
        <v>45050</v>
      </c>
      <c r="J127" s="10">
        <v>486</v>
      </c>
      <c r="K127" s="10">
        <v>13.6</v>
      </c>
      <c r="L127" s="10">
        <v>323.94</v>
      </c>
      <c r="M127" s="16">
        <v>6609.5999999999995</v>
      </c>
      <c r="N127" s="16">
        <f t="shared" si="1"/>
        <v>6609.5999999999995</v>
      </c>
    </row>
    <row r="128" spans="3:14" x14ac:dyDescent="0.35">
      <c r="C128" s="10" t="s">
        <v>153</v>
      </c>
      <c r="D128" s="10" t="s">
        <v>22</v>
      </c>
      <c r="E128" s="10" t="s">
        <v>12</v>
      </c>
      <c r="F128" s="10" t="s">
        <v>13</v>
      </c>
      <c r="G128" s="10" t="s">
        <v>24</v>
      </c>
      <c r="H128" s="10" t="s">
        <v>15</v>
      </c>
      <c r="I128" s="14">
        <v>45051</v>
      </c>
      <c r="J128" s="10">
        <v>287</v>
      </c>
      <c r="K128" s="10">
        <v>164.95</v>
      </c>
      <c r="L128" s="10">
        <v>32.409999999999997</v>
      </c>
      <c r="M128" s="16">
        <v>47340.649999999987</v>
      </c>
      <c r="N128" s="16">
        <f t="shared" si="1"/>
        <v>47340.649999999994</v>
      </c>
    </row>
    <row r="129" spans="3:14" x14ac:dyDescent="0.35">
      <c r="C129" s="10" t="s">
        <v>154</v>
      </c>
      <c r="D129" s="10" t="s">
        <v>17</v>
      </c>
      <c r="E129" s="10" t="s">
        <v>31</v>
      </c>
      <c r="F129" s="10" t="s">
        <v>19</v>
      </c>
      <c r="G129" s="10" t="s">
        <v>14</v>
      </c>
      <c r="H129" s="10" t="s">
        <v>28</v>
      </c>
      <c r="I129" s="14">
        <v>45052</v>
      </c>
      <c r="J129" s="10">
        <v>205</v>
      </c>
      <c r="K129" s="10">
        <v>486.68</v>
      </c>
      <c r="L129" s="10">
        <v>113.19</v>
      </c>
      <c r="M129" s="16">
        <v>99769.4</v>
      </c>
      <c r="N129" s="16">
        <f t="shared" si="1"/>
        <v>99769.4</v>
      </c>
    </row>
    <row r="130" spans="3:14" x14ac:dyDescent="0.35">
      <c r="C130" s="10" t="s">
        <v>155</v>
      </c>
      <c r="D130" s="10" t="s">
        <v>48</v>
      </c>
      <c r="E130" s="10" t="s">
        <v>12</v>
      </c>
      <c r="F130" s="10" t="s">
        <v>42</v>
      </c>
      <c r="G130" s="10" t="s">
        <v>24</v>
      </c>
      <c r="H130" s="10" t="s">
        <v>28</v>
      </c>
      <c r="I130" s="14">
        <v>45053</v>
      </c>
      <c r="J130" s="10">
        <v>413</v>
      </c>
      <c r="K130" s="10">
        <v>292.16000000000003</v>
      </c>
      <c r="L130" s="10">
        <v>372.27</v>
      </c>
      <c r="M130" s="16">
        <v>120662.08</v>
      </c>
      <c r="N130" s="16">
        <f t="shared" si="1"/>
        <v>120662.08000000002</v>
      </c>
    </row>
    <row r="131" spans="3:14" x14ac:dyDescent="0.35">
      <c r="C131" s="10" t="s">
        <v>156</v>
      </c>
      <c r="D131" s="10" t="s">
        <v>22</v>
      </c>
      <c r="E131" s="10" t="s">
        <v>26</v>
      </c>
      <c r="F131" s="10" t="s">
        <v>42</v>
      </c>
      <c r="G131" s="10" t="s">
        <v>24</v>
      </c>
      <c r="H131" s="10" t="s">
        <v>15</v>
      </c>
      <c r="I131" s="14">
        <v>45054</v>
      </c>
      <c r="J131" s="10">
        <v>361</v>
      </c>
      <c r="K131" s="10">
        <v>130.84</v>
      </c>
      <c r="L131" s="10">
        <v>102.72</v>
      </c>
      <c r="M131" s="16">
        <v>47233.24</v>
      </c>
      <c r="N131" s="16">
        <f t="shared" si="1"/>
        <v>47233.24</v>
      </c>
    </row>
    <row r="132" spans="3:14" x14ac:dyDescent="0.35">
      <c r="C132" s="10" t="s">
        <v>157</v>
      </c>
      <c r="D132" s="10" t="s">
        <v>17</v>
      </c>
      <c r="E132" s="10" t="s">
        <v>26</v>
      </c>
      <c r="F132" s="10" t="s">
        <v>27</v>
      </c>
      <c r="G132" s="10" t="s">
        <v>14</v>
      </c>
      <c r="H132" s="10" t="s">
        <v>15</v>
      </c>
      <c r="I132" s="14">
        <v>45055</v>
      </c>
      <c r="J132" s="10">
        <v>493</v>
      </c>
      <c r="K132" s="10">
        <v>263.26</v>
      </c>
      <c r="L132" s="10">
        <v>312.91000000000003</v>
      </c>
      <c r="M132" s="16">
        <v>129787.18</v>
      </c>
      <c r="N132" s="16">
        <f t="shared" si="1"/>
        <v>129787.18</v>
      </c>
    </row>
    <row r="133" spans="3:14" x14ac:dyDescent="0.35">
      <c r="C133" s="10" t="s">
        <v>158</v>
      </c>
      <c r="D133" s="10" t="s">
        <v>17</v>
      </c>
      <c r="E133" s="10" t="s">
        <v>31</v>
      </c>
      <c r="F133" s="10" t="s">
        <v>19</v>
      </c>
      <c r="G133" s="10" t="s">
        <v>24</v>
      </c>
      <c r="H133" s="10" t="s">
        <v>15</v>
      </c>
      <c r="I133" s="14">
        <v>45056</v>
      </c>
      <c r="J133" s="10">
        <v>251</v>
      </c>
      <c r="K133" s="10">
        <v>174.61</v>
      </c>
      <c r="L133" s="10">
        <v>330.4</v>
      </c>
      <c r="M133" s="16">
        <v>43827.11</v>
      </c>
      <c r="N133" s="16">
        <f t="shared" ref="N133:N196" si="2">J133*K133</f>
        <v>43827.11</v>
      </c>
    </row>
    <row r="134" spans="3:14" x14ac:dyDescent="0.35">
      <c r="C134" s="10" t="s">
        <v>159</v>
      </c>
      <c r="D134" s="10" t="s">
        <v>17</v>
      </c>
      <c r="E134" s="10" t="s">
        <v>18</v>
      </c>
      <c r="F134" s="10" t="s">
        <v>27</v>
      </c>
      <c r="G134" s="10" t="s">
        <v>24</v>
      </c>
      <c r="H134" s="10" t="s">
        <v>15</v>
      </c>
      <c r="I134" s="14">
        <v>45057</v>
      </c>
      <c r="J134" s="10">
        <v>239.5</v>
      </c>
      <c r="K134" s="10">
        <v>268.45999999999998</v>
      </c>
      <c r="L134" s="10">
        <v>199.19</v>
      </c>
      <c r="M134" s="16">
        <v>64296.17</v>
      </c>
      <c r="N134" s="16">
        <f t="shared" si="2"/>
        <v>64296.17</v>
      </c>
    </row>
    <row r="135" spans="3:14" x14ac:dyDescent="0.35">
      <c r="C135" s="10" t="s">
        <v>160</v>
      </c>
      <c r="D135" s="10" t="s">
        <v>22</v>
      </c>
      <c r="E135" s="10" t="s">
        <v>26</v>
      </c>
      <c r="F135" s="10" t="s">
        <v>27</v>
      </c>
      <c r="G135" s="10" t="s">
        <v>24</v>
      </c>
      <c r="H135" s="10" t="s">
        <v>15</v>
      </c>
      <c r="I135" s="14">
        <v>45058</v>
      </c>
      <c r="J135" s="10">
        <v>228</v>
      </c>
      <c r="K135" s="10">
        <v>67.239999999999995</v>
      </c>
      <c r="L135" s="10">
        <v>155.77000000000001</v>
      </c>
      <c r="M135" s="16">
        <v>15330.72</v>
      </c>
      <c r="N135" s="16">
        <f t="shared" si="2"/>
        <v>15330.72</v>
      </c>
    </row>
    <row r="136" spans="3:14" x14ac:dyDescent="0.35">
      <c r="C136" s="10" t="s">
        <v>161</v>
      </c>
      <c r="D136" s="10" t="s">
        <v>22</v>
      </c>
      <c r="E136" s="10" t="s">
        <v>50</v>
      </c>
      <c r="F136" s="10" t="s">
        <v>27</v>
      </c>
      <c r="G136" s="10" t="s">
        <v>14</v>
      </c>
      <c r="H136" s="10" t="s">
        <v>15</v>
      </c>
      <c r="I136" s="14">
        <v>45059</v>
      </c>
      <c r="J136" s="10">
        <v>201</v>
      </c>
      <c r="K136" s="10">
        <v>70.69</v>
      </c>
      <c r="L136" s="10">
        <v>181.15</v>
      </c>
      <c r="M136" s="16">
        <v>14208.69</v>
      </c>
      <c r="N136" s="16">
        <f t="shared" si="2"/>
        <v>14208.689999999999</v>
      </c>
    </row>
    <row r="137" spans="3:14" x14ac:dyDescent="0.35">
      <c r="C137" s="10" t="s">
        <v>162</v>
      </c>
      <c r="D137" s="10" t="s">
        <v>22</v>
      </c>
      <c r="E137" s="10" t="s">
        <v>26</v>
      </c>
      <c r="F137" s="10" t="s">
        <v>23</v>
      </c>
      <c r="G137" s="10" t="s">
        <v>14</v>
      </c>
      <c r="H137" s="10" t="s">
        <v>15</v>
      </c>
      <c r="I137" s="14">
        <v>45060</v>
      </c>
      <c r="J137" s="10">
        <v>26</v>
      </c>
      <c r="K137" s="10">
        <v>76.05</v>
      </c>
      <c r="L137" s="10">
        <v>92.33</v>
      </c>
      <c r="M137" s="16">
        <v>1977.3</v>
      </c>
      <c r="N137" s="16">
        <f t="shared" si="2"/>
        <v>1977.3</v>
      </c>
    </row>
    <row r="138" spans="3:14" x14ac:dyDescent="0.35">
      <c r="C138" s="10" t="s">
        <v>163</v>
      </c>
      <c r="D138" s="10" t="s">
        <v>11</v>
      </c>
      <c r="E138" s="10" t="s">
        <v>26</v>
      </c>
      <c r="F138" s="10" t="s">
        <v>23</v>
      </c>
      <c r="G138" s="10" t="s">
        <v>14</v>
      </c>
      <c r="H138" s="10" t="s">
        <v>20</v>
      </c>
      <c r="I138" s="14">
        <v>45061</v>
      </c>
      <c r="J138" s="10">
        <v>21</v>
      </c>
      <c r="K138" s="10">
        <v>470.21</v>
      </c>
      <c r="L138" s="10">
        <v>355.98</v>
      </c>
      <c r="M138" s="16">
        <v>9874.41</v>
      </c>
      <c r="N138" s="16">
        <f t="shared" si="2"/>
        <v>9874.41</v>
      </c>
    </row>
    <row r="139" spans="3:14" x14ac:dyDescent="0.35">
      <c r="C139" s="10" t="s">
        <v>164</v>
      </c>
      <c r="D139" s="10" t="s">
        <v>22</v>
      </c>
      <c r="E139" s="10" t="s">
        <v>18</v>
      </c>
      <c r="F139" s="10" t="s">
        <v>27</v>
      </c>
      <c r="G139" s="10" t="s">
        <v>24</v>
      </c>
      <c r="H139" s="10" t="s">
        <v>28</v>
      </c>
      <c r="I139" s="14">
        <v>45062</v>
      </c>
      <c r="J139" s="10">
        <v>415</v>
      </c>
      <c r="K139" s="10">
        <v>367.78</v>
      </c>
      <c r="L139" s="10">
        <v>181.35</v>
      </c>
      <c r="M139" s="16">
        <v>152628.70000000001</v>
      </c>
      <c r="N139" s="16">
        <f t="shared" si="2"/>
        <v>152628.69999999998</v>
      </c>
    </row>
    <row r="140" spans="3:14" x14ac:dyDescent="0.35">
      <c r="C140" s="10" t="s">
        <v>165</v>
      </c>
      <c r="D140" s="10" t="s">
        <v>22</v>
      </c>
      <c r="E140" s="10" t="s">
        <v>12</v>
      </c>
      <c r="F140" s="10" t="s">
        <v>19</v>
      </c>
      <c r="G140" s="10" t="s">
        <v>24</v>
      </c>
      <c r="H140" s="10" t="s">
        <v>15</v>
      </c>
      <c r="I140" s="14">
        <v>45063</v>
      </c>
      <c r="J140" s="10">
        <v>410</v>
      </c>
      <c r="K140" s="10">
        <v>85.38</v>
      </c>
      <c r="L140" s="10">
        <v>353.22</v>
      </c>
      <c r="M140" s="16">
        <v>35005.800000000003</v>
      </c>
      <c r="N140" s="16">
        <f t="shared" si="2"/>
        <v>35005.799999999996</v>
      </c>
    </row>
    <row r="141" spans="3:14" x14ac:dyDescent="0.35">
      <c r="C141" s="10" t="s">
        <v>166</v>
      </c>
      <c r="D141" s="10" t="s">
        <v>22</v>
      </c>
      <c r="E141" s="10" t="s">
        <v>26</v>
      </c>
      <c r="F141" s="10" t="s">
        <v>42</v>
      </c>
      <c r="G141" s="10" t="s">
        <v>14</v>
      </c>
      <c r="H141" s="10" t="s">
        <v>20</v>
      </c>
      <c r="I141" s="14">
        <v>45064</v>
      </c>
      <c r="J141" s="10">
        <v>403</v>
      </c>
      <c r="K141" s="10">
        <v>98.23</v>
      </c>
      <c r="L141" s="10">
        <v>44.07</v>
      </c>
      <c r="M141" s="16">
        <v>39586.69</v>
      </c>
      <c r="N141" s="16">
        <f t="shared" si="2"/>
        <v>39586.69</v>
      </c>
    </row>
    <row r="142" spans="3:14" x14ac:dyDescent="0.35">
      <c r="C142" s="10" t="s">
        <v>167</v>
      </c>
      <c r="D142" s="10" t="s">
        <v>11</v>
      </c>
      <c r="E142" s="10" t="s">
        <v>31</v>
      </c>
      <c r="F142" s="10" t="s">
        <v>19</v>
      </c>
      <c r="G142" s="10" t="s">
        <v>24</v>
      </c>
      <c r="H142" s="10" t="s">
        <v>20</v>
      </c>
      <c r="I142" s="14">
        <v>45065</v>
      </c>
      <c r="J142" s="10">
        <v>383</v>
      </c>
      <c r="K142" s="10">
        <v>366.76</v>
      </c>
      <c r="L142" s="10">
        <v>395.33</v>
      </c>
      <c r="M142" s="16">
        <v>140469.07999999999</v>
      </c>
      <c r="N142" s="16">
        <f t="shared" si="2"/>
        <v>140469.07999999999</v>
      </c>
    </row>
    <row r="143" spans="3:14" x14ac:dyDescent="0.35">
      <c r="C143" s="10" t="s">
        <v>168</v>
      </c>
      <c r="D143" s="10" t="s">
        <v>22</v>
      </c>
      <c r="E143" s="10" t="s">
        <v>12</v>
      </c>
      <c r="F143" s="10" t="s">
        <v>13</v>
      </c>
      <c r="G143" s="10" t="s">
        <v>24</v>
      </c>
      <c r="H143" s="10" t="s">
        <v>20</v>
      </c>
      <c r="I143" s="14">
        <v>45066</v>
      </c>
      <c r="J143" s="10">
        <v>202</v>
      </c>
      <c r="K143" s="10">
        <v>82.3</v>
      </c>
      <c r="L143" s="10">
        <v>178.42</v>
      </c>
      <c r="M143" s="16">
        <v>16624.599999999999</v>
      </c>
      <c r="N143" s="16">
        <f t="shared" si="2"/>
        <v>16624.599999999999</v>
      </c>
    </row>
    <row r="144" spans="3:14" x14ac:dyDescent="0.35">
      <c r="C144" s="10" t="s">
        <v>169</v>
      </c>
      <c r="D144" s="10" t="s">
        <v>17</v>
      </c>
      <c r="E144" s="10" t="s">
        <v>50</v>
      </c>
      <c r="F144" s="10" t="s">
        <v>23</v>
      </c>
      <c r="G144" s="10" t="s">
        <v>24</v>
      </c>
      <c r="H144" s="10" t="s">
        <v>28</v>
      </c>
      <c r="I144" s="14">
        <v>45067</v>
      </c>
      <c r="J144" s="10">
        <v>31</v>
      </c>
      <c r="K144" s="10">
        <v>121.11</v>
      </c>
      <c r="L144" s="10">
        <v>21.04</v>
      </c>
      <c r="M144" s="16">
        <v>3754.41</v>
      </c>
      <c r="N144" s="16">
        <f t="shared" si="2"/>
        <v>3754.41</v>
      </c>
    </row>
    <row r="145" spans="3:14" x14ac:dyDescent="0.35">
      <c r="C145" s="10" t="s">
        <v>170</v>
      </c>
      <c r="D145" s="10" t="s">
        <v>22</v>
      </c>
      <c r="E145" s="10" t="s">
        <v>18</v>
      </c>
      <c r="F145" s="10" t="s">
        <v>42</v>
      </c>
      <c r="G145" s="10" t="s">
        <v>24</v>
      </c>
      <c r="H145" s="10" t="s">
        <v>15</v>
      </c>
      <c r="I145" s="14">
        <v>45068</v>
      </c>
      <c r="J145" s="10">
        <v>483</v>
      </c>
      <c r="K145" s="10">
        <v>481.86</v>
      </c>
      <c r="L145" s="10">
        <v>17.13</v>
      </c>
      <c r="M145" s="16">
        <v>232738.38</v>
      </c>
      <c r="N145" s="16">
        <f t="shared" si="2"/>
        <v>232738.38</v>
      </c>
    </row>
    <row r="146" spans="3:14" x14ac:dyDescent="0.35">
      <c r="C146" s="10" t="s">
        <v>171</v>
      </c>
      <c r="D146" s="10" t="s">
        <v>17</v>
      </c>
      <c r="E146" s="10" t="s">
        <v>50</v>
      </c>
      <c r="F146" s="10" t="s">
        <v>42</v>
      </c>
      <c r="G146" s="10" t="s">
        <v>24</v>
      </c>
      <c r="H146" s="10" t="s">
        <v>20</v>
      </c>
      <c r="I146" s="14">
        <v>45069</v>
      </c>
      <c r="J146" s="10">
        <v>129</v>
      </c>
      <c r="K146" s="10">
        <v>131.38</v>
      </c>
      <c r="L146" s="10">
        <v>298.99</v>
      </c>
      <c r="M146" s="16">
        <v>16948.02</v>
      </c>
      <c r="N146" s="16">
        <f t="shared" si="2"/>
        <v>16948.02</v>
      </c>
    </row>
    <row r="147" spans="3:14" x14ac:dyDescent="0.35">
      <c r="C147" s="10" t="s">
        <v>172</v>
      </c>
      <c r="D147" s="10" t="s">
        <v>17</v>
      </c>
      <c r="E147" s="10" t="s">
        <v>12</v>
      </c>
      <c r="F147" s="10" t="s">
        <v>13</v>
      </c>
      <c r="G147" s="10" t="s">
        <v>14</v>
      </c>
      <c r="H147" s="10" t="s">
        <v>28</v>
      </c>
      <c r="I147" s="14">
        <v>45070</v>
      </c>
      <c r="J147" s="10">
        <v>219</v>
      </c>
      <c r="K147" s="10">
        <v>332.51</v>
      </c>
      <c r="L147" s="10">
        <v>264.3</v>
      </c>
      <c r="M147" s="16">
        <v>72819.69</v>
      </c>
      <c r="N147" s="16">
        <f t="shared" si="2"/>
        <v>72819.69</v>
      </c>
    </row>
    <row r="148" spans="3:14" x14ac:dyDescent="0.35">
      <c r="C148" s="10" t="s">
        <v>173</v>
      </c>
      <c r="D148" s="10" t="s">
        <v>17</v>
      </c>
      <c r="E148" s="10" t="s">
        <v>12</v>
      </c>
      <c r="F148" s="10" t="s">
        <v>13</v>
      </c>
      <c r="G148" s="10" t="s">
        <v>24</v>
      </c>
      <c r="H148" s="10" t="s">
        <v>28</v>
      </c>
      <c r="I148" s="14">
        <v>45071</v>
      </c>
      <c r="J148" s="10">
        <v>315</v>
      </c>
      <c r="K148" s="10">
        <v>489.42</v>
      </c>
      <c r="L148" s="10">
        <v>321.25</v>
      </c>
      <c r="M148" s="16">
        <v>154167.29999999999</v>
      </c>
      <c r="N148" s="16">
        <f t="shared" si="2"/>
        <v>154167.30000000002</v>
      </c>
    </row>
    <row r="149" spans="3:14" x14ac:dyDescent="0.35">
      <c r="C149" s="10" t="s">
        <v>174</v>
      </c>
      <c r="D149" s="10" t="s">
        <v>11</v>
      </c>
      <c r="E149" s="10" t="s">
        <v>12</v>
      </c>
      <c r="F149" s="10" t="s">
        <v>27</v>
      </c>
      <c r="G149" s="10" t="s">
        <v>14</v>
      </c>
      <c r="H149" s="10" t="s">
        <v>28</v>
      </c>
      <c r="I149" s="14">
        <v>45072</v>
      </c>
      <c r="J149" s="10">
        <v>279</v>
      </c>
      <c r="K149" s="10">
        <v>190.28</v>
      </c>
      <c r="L149" s="10">
        <v>43.94</v>
      </c>
      <c r="M149" s="16">
        <v>53088.12</v>
      </c>
      <c r="N149" s="16">
        <f t="shared" si="2"/>
        <v>53088.12</v>
      </c>
    </row>
    <row r="150" spans="3:14" x14ac:dyDescent="0.35">
      <c r="C150" s="10" t="s">
        <v>175</v>
      </c>
      <c r="D150" s="10" t="s">
        <v>11</v>
      </c>
      <c r="E150" s="10" t="s">
        <v>50</v>
      </c>
      <c r="F150" s="10" t="s">
        <v>23</v>
      </c>
      <c r="G150" s="10" t="s">
        <v>24</v>
      </c>
      <c r="H150" s="10" t="s">
        <v>20</v>
      </c>
      <c r="I150" s="14">
        <v>45073</v>
      </c>
      <c r="J150" s="10">
        <v>201</v>
      </c>
      <c r="K150" s="10">
        <v>13.67</v>
      </c>
      <c r="L150" s="10">
        <v>16.16</v>
      </c>
      <c r="M150" s="16">
        <v>2747.67</v>
      </c>
      <c r="N150" s="16">
        <f t="shared" si="2"/>
        <v>2747.67</v>
      </c>
    </row>
    <row r="151" spans="3:14" x14ac:dyDescent="0.35">
      <c r="C151" s="10" t="s">
        <v>176</v>
      </c>
      <c r="D151" s="10" t="s">
        <v>11</v>
      </c>
      <c r="E151" s="10" t="s">
        <v>12</v>
      </c>
      <c r="F151" s="10" t="s">
        <v>23</v>
      </c>
      <c r="G151" s="10" t="s">
        <v>14</v>
      </c>
      <c r="H151" s="10" t="s">
        <v>15</v>
      </c>
      <c r="I151" s="14">
        <v>45074</v>
      </c>
      <c r="J151" s="10">
        <v>184</v>
      </c>
      <c r="K151" s="10">
        <v>125.85</v>
      </c>
      <c r="L151" s="10">
        <v>204.41</v>
      </c>
      <c r="M151" s="16">
        <v>23156.400000000001</v>
      </c>
      <c r="N151" s="16">
        <f t="shared" si="2"/>
        <v>23156.399999999998</v>
      </c>
    </row>
    <row r="152" spans="3:14" x14ac:dyDescent="0.35">
      <c r="C152" s="10" t="s">
        <v>177</v>
      </c>
      <c r="D152" s="10" t="s">
        <v>22</v>
      </c>
      <c r="E152" s="10" t="s">
        <v>50</v>
      </c>
      <c r="F152" s="10" t="s">
        <v>19</v>
      </c>
      <c r="G152" s="10" t="s">
        <v>24</v>
      </c>
      <c r="H152" s="10" t="s">
        <v>20</v>
      </c>
      <c r="I152" s="14">
        <v>45075</v>
      </c>
      <c r="J152" s="10">
        <v>294</v>
      </c>
      <c r="K152" s="10">
        <v>416.28</v>
      </c>
      <c r="L152" s="10">
        <v>156.26</v>
      </c>
      <c r="M152" s="16">
        <v>122386.32</v>
      </c>
      <c r="N152" s="16">
        <f t="shared" si="2"/>
        <v>122386.31999999999</v>
      </c>
    </row>
    <row r="153" spans="3:14" x14ac:dyDescent="0.35">
      <c r="C153" s="10" t="s">
        <v>178</v>
      </c>
      <c r="D153" s="10" t="s">
        <v>17</v>
      </c>
      <c r="E153" s="10" t="s">
        <v>12</v>
      </c>
      <c r="F153" s="10" t="s">
        <v>27</v>
      </c>
      <c r="G153" s="10" t="s">
        <v>14</v>
      </c>
      <c r="H153" s="10" t="s">
        <v>20</v>
      </c>
      <c r="I153" s="14">
        <v>45076</v>
      </c>
      <c r="J153" s="10">
        <v>213</v>
      </c>
      <c r="K153" s="10">
        <v>432.98</v>
      </c>
      <c r="L153" s="10">
        <v>185.85</v>
      </c>
      <c r="M153" s="16">
        <v>92224.74</v>
      </c>
      <c r="N153" s="16">
        <f t="shared" si="2"/>
        <v>92224.74</v>
      </c>
    </row>
    <row r="154" spans="3:14" x14ac:dyDescent="0.35">
      <c r="C154" s="10" t="s">
        <v>179</v>
      </c>
      <c r="D154" s="10" t="s">
        <v>11</v>
      </c>
      <c r="E154" s="10" t="s">
        <v>31</v>
      </c>
      <c r="F154" s="10" t="s">
        <v>27</v>
      </c>
      <c r="G154" s="10" t="s">
        <v>24</v>
      </c>
      <c r="H154" s="10" t="s">
        <v>15</v>
      </c>
      <c r="I154" s="14">
        <v>45077</v>
      </c>
      <c r="J154" s="10">
        <v>173</v>
      </c>
      <c r="K154" s="10">
        <v>385.42</v>
      </c>
      <c r="L154" s="10">
        <v>396.65</v>
      </c>
      <c r="M154" s="16">
        <v>66677.66</v>
      </c>
      <c r="N154" s="16">
        <f t="shared" si="2"/>
        <v>66677.66</v>
      </c>
    </row>
    <row r="155" spans="3:14" x14ac:dyDescent="0.35">
      <c r="C155" s="10" t="s">
        <v>180</v>
      </c>
      <c r="D155" s="10" t="s">
        <v>11</v>
      </c>
      <c r="E155" s="10" t="s">
        <v>12</v>
      </c>
      <c r="F155" s="10" t="s">
        <v>27</v>
      </c>
      <c r="G155" s="10" t="s">
        <v>14</v>
      </c>
      <c r="H155" s="10" t="s">
        <v>15</v>
      </c>
      <c r="I155" s="14">
        <v>45078</v>
      </c>
      <c r="J155" s="10">
        <v>260</v>
      </c>
      <c r="K155" s="10">
        <v>60.99</v>
      </c>
      <c r="L155" s="10">
        <v>388.36</v>
      </c>
      <c r="M155" s="16">
        <v>15857.4</v>
      </c>
      <c r="N155" s="16">
        <f t="shared" si="2"/>
        <v>15857.4</v>
      </c>
    </row>
    <row r="156" spans="3:14" x14ac:dyDescent="0.35">
      <c r="C156" s="10" t="s">
        <v>181</v>
      </c>
      <c r="D156" s="10" t="s">
        <v>22</v>
      </c>
      <c r="E156" s="10" t="s">
        <v>50</v>
      </c>
      <c r="F156" s="10" t="s">
        <v>27</v>
      </c>
      <c r="G156" s="10" t="s">
        <v>24</v>
      </c>
      <c r="H156" s="10" t="s">
        <v>15</v>
      </c>
      <c r="I156" s="14">
        <v>45079</v>
      </c>
      <c r="J156" s="10">
        <v>236</v>
      </c>
      <c r="K156" s="10">
        <v>398.78</v>
      </c>
      <c r="L156" s="10">
        <v>377.04</v>
      </c>
      <c r="M156" s="16">
        <v>94112.079999999987</v>
      </c>
      <c r="N156" s="16">
        <f t="shared" si="2"/>
        <v>94112.079999999987</v>
      </c>
    </row>
    <row r="157" spans="3:14" x14ac:dyDescent="0.35">
      <c r="C157" s="10" t="s">
        <v>182</v>
      </c>
      <c r="D157" s="10" t="s">
        <v>11</v>
      </c>
      <c r="E157" s="10" t="s">
        <v>26</v>
      </c>
      <c r="F157" s="10" t="s">
        <v>23</v>
      </c>
      <c r="G157" s="10" t="s">
        <v>14</v>
      </c>
      <c r="H157" s="10" t="s">
        <v>28</v>
      </c>
      <c r="I157" s="14">
        <v>45080</v>
      </c>
      <c r="J157" s="10">
        <v>445</v>
      </c>
      <c r="K157" s="10">
        <v>459.75</v>
      </c>
      <c r="L157" s="10">
        <v>313.97000000000003</v>
      </c>
      <c r="M157" s="16">
        <v>204588.75</v>
      </c>
      <c r="N157" s="16">
        <f t="shared" si="2"/>
        <v>204588.75</v>
      </c>
    </row>
    <row r="158" spans="3:14" x14ac:dyDescent="0.35">
      <c r="C158" s="10" t="s">
        <v>183</v>
      </c>
      <c r="D158" s="10" t="s">
        <v>22</v>
      </c>
      <c r="E158" s="10" t="s">
        <v>12</v>
      </c>
      <c r="F158" s="10" t="s">
        <v>23</v>
      </c>
      <c r="G158" s="10" t="s">
        <v>24</v>
      </c>
      <c r="H158" s="10" t="s">
        <v>15</v>
      </c>
      <c r="I158" s="14">
        <v>45081</v>
      </c>
      <c r="J158" s="10">
        <v>390</v>
      </c>
      <c r="K158" s="10">
        <v>302.3</v>
      </c>
      <c r="L158" s="10">
        <v>143.22999999999999</v>
      </c>
      <c r="M158" s="16">
        <v>117897</v>
      </c>
      <c r="N158" s="16">
        <f t="shared" si="2"/>
        <v>117897</v>
      </c>
    </row>
    <row r="159" spans="3:14" x14ac:dyDescent="0.35">
      <c r="C159" s="10" t="s">
        <v>184</v>
      </c>
      <c r="D159" s="10" t="s">
        <v>48</v>
      </c>
      <c r="E159" s="10" t="s">
        <v>26</v>
      </c>
      <c r="F159" s="10" t="s">
        <v>27</v>
      </c>
      <c r="G159" s="10" t="s">
        <v>14</v>
      </c>
      <c r="H159" s="10" t="s">
        <v>20</v>
      </c>
      <c r="I159" s="14">
        <v>45082</v>
      </c>
      <c r="J159" s="10">
        <v>469</v>
      </c>
      <c r="K159" s="10">
        <v>470.73</v>
      </c>
      <c r="L159" s="10">
        <v>166.03</v>
      </c>
      <c r="M159" s="16">
        <v>220772.37</v>
      </c>
      <c r="N159" s="16">
        <f t="shared" si="2"/>
        <v>220772.37</v>
      </c>
    </row>
    <row r="160" spans="3:14" x14ac:dyDescent="0.35">
      <c r="C160" s="10" t="s">
        <v>185</v>
      </c>
      <c r="D160" s="10" t="s">
        <v>11</v>
      </c>
      <c r="E160" s="10" t="s">
        <v>31</v>
      </c>
      <c r="F160" s="10" t="s">
        <v>19</v>
      </c>
      <c r="G160" s="10" t="s">
        <v>14</v>
      </c>
      <c r="H160" s="10" t="s">
        <v>15</v>
      </c>
      <c r="I160" s="14">
        <v>45083</v>
      </c>
      <c r="J160" s="10">
        <v>16</v>
      </c>
      <c r="K160" s="10">
        <v>402.94</v>
      </c>
      <c r="L160" s="10">
        <v>220.75</v>
      </c>
      <c r="M160" s="16">
        <v>6447.04</v>
      </c>
      <c r="N160" s="16">
        <f t="shared" si="2"/>
        <v>6447.04</v>
      </c>
    </row>
    <row r="161" spans="3:14" x14ac:dyDescent="0.35">
      <c r="C161" s="10" t="s">
        <v>186</v>
      </c>
      <c r="D161" s="10" t="s">
        <v>48</v>
      </c>
      <c r="E161" s="10" t="s">
        <v>18</v>
      </c>
      <c r="F161" s="10" t="s">
        <v>42</v>
      </c>
      <c r="G161" s="10" t="s">
        <v>24</v>
      </c>
      <c r="H161" s="10" t="s">
        <v>20</v>
      </c>
      <c r="I161" s="14">
        <v>45084</v>
      </c>
      <c r="J161" s="10">
        <v>38</v>
      </c>
      <c r="K161" s="10">
        <v>335.15</v>
      </c>
      <c r="L161" s="10">
        <v>332.55</v>
      </c>
      <c r="M161" s="16">
        <v>12735.7</v>
      </c>
      <c r="N161" s="16">
        <f t="shared" si="2"/>
        <v>12735.699999999999</v>
      </c>
    </row>
    <row r="162" spans="3:14" x14ac:dyDescent="0.35">
      <c r="C162" s="10" t="s">
        <v>187</v>
      </c>
      <c r="D162" s="10" t="s">
        <v>22</v>
      </c>
      <c r="E162" s="10" t="s">
        <v>31</v>
      </c>
      <c r="F162" s="10"/>
      <c r="G162" s="10" t="s">
        <v>24</v>
      </c>
      <c r="H162" s="10" t="s">
        <v>28</v>
      </c>
      <c r="I162" s="14">
        <v>45085</v>
      </c>
      <c r="J162" s="10">
        <v>404</v>
      </c>
      <c r="K162" s="10">
        <v>290.70999999999998</v>
      </c>
      <c r="L162" s="10">
        <v>29.35</v>
      </c>
      <c r="M162" s="16">
        <v>117446.84</v>
      </c>
      <c r="N162" s="16">
        <f t="shared" si="2"/>
        <v>117446.84</v>
      </c>
    </row>
    <row r="163" spans="3:14" x14ac:dyDescent="0.35">
      <c r="C163" s="10" t="s">
        <v>188</v>
      </c>
      <c r="D163" s="10" t="s">
        <v>17</v>
      </c>
      <c r="E163" s="10" t="s">
        <v>12</v>
      </c>
      <c r="F163" s="10" t="s">
        <v>19</v>
      </c>
      <c r="G163" s="10" t="s">
        <v>14</v>
      </c>
      <c r="H163" s="10" t="s">
        <v>20</v>
      </c>
      <c r="I163" s="14">
        <v>45086</v>
      </c>
      <c r="J163" s="10">
        <v>42</v>
      </c>
      <c r="K163" s="10">
        <v>177.54</v>
      </c>
      <c r="L163" s="10">
        <v>170.87</v>
      </c>
      <c r="M163" s="16">
        <v>7456.6799999999994</v>
      </c>
      <c r="N163" s="16">
        <f t="shared" si="2"/>
        <v>7456.6799999999994</v>
      </c>
    </row>
    <row r="164" spans="3:14" x14ac:dyDescent="0.35">
      <c r="C164" s="10" t="s">
        <v>189</v>
      </c>
      <c r="D164" s="10" t="s">
        <v>11</v>
      </c>
      <c r="E164" s="10" t="s">
        <v>26</v>
      </c>
      <c r="F164" s="10" t="s">
        <v>27</v>
      </c>
      <c r="G164" s="10" t="s">
        <v>24</v>
      </c>
      <c r="H164" s="10" t="s">
        <v>20</v>
      </c>
      <c r="I164" s="14">
        <v>45087</v>
      </c>
      <c r="J164" s="10">
        <v>143</v>
      </c>
      <c r="K164" s="10">
        <v>83.85</v>
      </c>
      <c r="L164" s="10">
        <v>34.880000000000003</v>
      </c>
      <c r="M164" s="16">
        <v>11990.55</v>
      </c>
      <c r="N164" s="16">
        <f t="shared" si="2"/>
        <v>11990.55</v>
      </c>
    </row>
    <row r="165" spans="3:14" x14ac:dyDescent="0.35">
      <c r="C165" s="10" t="s">
        <v>190</v>
      </c>
      <c r="D165" s="10" t="s">
        <v>22</v>
      </c>
      <c r="E165" s="10" t="s">
        <v>26</v>
      </c>
      <c r="F165" s="10" t="s">
        <v>23</v>
      </c>
      <c r="G165" s="10" t="s">
        <v>14</v>
      </c>
      <c r="H165" s="10" t="s">
        <v>15</v>
      </c>
      <c r="I165" s="14">
        <v>45088</v>
      </c>
      <c r="J165" s="10">
        <v>376</v>
      </c>
      <c r="K165" s="10">
        <v>304.45</v>
      </c>
      <c r="L165" s="10">
        <v>206.83</v>
      </c>
      <c r="M165" s="16">
        <v>114473.2</v>
      </c>
      <c r="N165" s="16">
        <f t="shared" si="2"/>
        <v>114473.2</v>
      </c>
    </row>
    <row r="166" spans="3:14" x14ac:dyDescent="0.35">
      <c r="C166" s="10" t="s">
        <v>191</v>
      </c>
      <c r="D166" s="10" t="s">
        <v>17</v>
      </c>
      <c r="E166" s="10" t="s">
        <v>50</v>
      </c>
      <c r="F166" s="10" t="s">
        <v>42</v>
      </c>
      <c r="G166" s="10" t="s">
        <v>14</v>
      </c>
      <c r="H166" s="10" t="s">
        <v>15</v>
      </c>
      <c r="I166" s="14">
        <v>45089</v>
      </c>
      <c r="J166" s="10">
        <v>88</v>
      </c>
      <c r="K166" s="10">
        <v>162.47</v>
      </c>
      <c r="L166" s="10">
        <v>359.76</v>
      </c>
      <c r="M166" s="16">
        <v>14297.36</v>
      </c>
      <c r="N166" s="16">
        <f t="shared" si="2"/>
        <v>14297.36</v>
      </c>
    </row>
    <row r="167" spans="3:14" x14ac:dyDescent="0.35">
      <c r="C167" s="10" t="s">
        <v>192</v>
      </c>
      <c r="D167" s="10" t="s">
        <v>17</v>
      </c>
      <c r="E167" s="10" t="s">
        <v>26</v>
      </c>
      <c r="F167" s="10" t="s">
        <v>13</v>
      </c>
      <c r="G167" s="10" t="s">
        <v>14</v>
      </c>
      <c r="H167" s="10" t="s">
        <v>20</v>
      </c>
      <c r="I167" s="14">
        <v>45090</v>
      </c>
      <c r="J167" s="10">
        <v>425</v>
      </c>
      <c r="K167" s="10">
        <v>433.89</v>
      </c>
      <c r="L167" s="10">
        <v>313.43</v>
      </c>
      <c r="M167" s="16">
        <v>184403.25</v>
      </c>
      <c r="N167" s="16">
        <f t="shared" si="2"/>
        <v>184403.25</v>
      </c>
    </row>
    <row r="168" spans="3:14" x14ac:dyDescent="0.35">
      <c r="C168" s="10" t="s">
        <v>193</v>
      </c>
      <c r="D168" s="10" t="s">
        <v>48</v>
      </c>
      <c r="E168" s="10" t="s">
        <v>50</v>
      </c>
      <c r="F168" s="10" t="s">
        <v>13</v>
      </c>
      <c r="G168" s="10" t="s">
        <v>24</v>
      </c>
      <c r="H168" s="10" t="s">
        <v>15</v>
      </c>
      <c r="I168" s="14">
        <v>45091</v>
      </c>
      <c r="J168" s="10">
        <v>444</v>
      </c>
      <c r="K168" s="10">
        <v>496.7</v>
      </c>
      <c r="L168" s="10">
        <v>92.68</v>
      </c>
      <c r="M168" s="16">
        <v>220534.8</v>
      </c>
      <c r="N168" s="16">
        <f t="shared" si="2"/>
        <v>220534.8</v>
      </c>
    </row>
    <row r="169" spans="3:14" x14ac:dyDescent="0.35">
      <c r="C169" s="10" t="s">
        <v>194</v>
      </c>
      <c r="D169" s="10" t="s">
        <v>22</v>
      </c>
      <c r="E169" s="10" t="s">
        <v>18</v>
      </c>
      <c r="F169" s="10" t="s">
        <v>19</v>
      </c>
      <c r="G169" s="10" t="s">
        <v>14</v>
      </c>
      <c r="H169" s="10" t="s">
        <v>28</v>
      </c>
      <c r="I169" s="14">
        <v>45092</v>
      </c>
      <c r="J169" s="10">
        <v>468</v>
      </c>
      <c r="K169" s="10">
        <v>377.45</v>
      </c>
      <c r="L169" s="10">
        <v>390.44</v>
      </c>
      <c r="M169" s="16">
        <v>176646.6</v>
      </c>
      <c r="N169" s="16">
        <f t="shared" si="2"/>
        <v>176646.6</v>
      </c>
    </row>
    <row r="170" spans="3:14" x14ac:dyDescent="0.35">
      <c r="C170" s="10" t="s">
        <v>195</v>
      </c>
      <c r="D170" s="10" t="s">
        <v>17</v>
      </c>
      <c r="E170" s="10" t="s">
        <v>12</v>
      </c>
      <c r="F170" s="10" t="s">
        <v>27</v>
      </c>
      <c r="G170" s="10" t="s">
        <v>14</v>
      </c>
      <c r="H170" s="10" t="s">
        <v>28</v>
      </c>
      <c r="I170" s="14">
        <v>45093</v>
      </c>
      <c r="J170" s="10">
        <v>67</v>
      </c>
      <c r="K170" s="10">
        <v>49.79</v>
      </c>
      <c r="L170" s="10">
        <v>267.61</v>
      </c>
      <c r="M170" s="16">
        <v>3335.93</v>
      </c>
      <c r="N170" s="16">
        <f t="shared" si="2"/>
        <v>3335.93</v>
      </c>
    </row>
    <row r="171" spans="3:14" x14ac:dyDescent="0.35">
      <c r="C171" s="10" t="s">
        <v>196</v>
      </c>
      <c r="D171" s="10" t="s">
        <v>11</v>
      </c>
      <c r="E171" s="10" t="s">
        <v>50</v>
      </c>
      <c r="F171" s="10" t="s">
        <v>42</v>
      </c>
      <c r="G171" s="10" t="s">
        <v>24</v>
      </c>
      <c r="H171" s="10" t="s">
        <v>15</v>
      </c>
      <c r="I171" s="14">
        <v>45094</v>
      </c>
      <c r="J171" s="10">
        <v>480</v>
      </c>
      <c r="K171" s="10">
        <v>147.9</v>
      </c>
      <c r="L171" s="10">
        <v>6.15</v>
      </c>
      <c r="M171" s="16">
        <v>70992</v>
      </c>
      <c r="N171" s="16">
        <f t="shared" si="2"/>
        <v>70992</v>
      </c>
    </row>
    <row r="172" spans="3:14" x14ac:dyDescent="0.35">
      <c r="C172" s="10" t="s">
        <v>197</v>
      </c>
      <c r="D172" s="10" t="s">
        <v>11</v>
      </c>
      <c r="E172" s="10" t="s">
        <v>18</v>
      </c>
      <c r="F172" s="10" t="s">
        <v>27</v>
      </c>
      <c r="G172" s="10" t="s">
        <v>24</v>
      </c>
      <c r="H172" s="10" t="s">
        <v>28</v>
      </c>
      <c r="I172" s="14">
        <v>45095</v>
      </c>
      <c r="J172" s="10">
        <v>35</v>
      </c>
      <c r="K172" s="10">
        <v>59.01</v>
      </c>
      <c r="L172" s="10">
        <v>103.65</v>
      </c>
      <c r="M172" s="16">
        <v>2065.35</v>
      </c>
      <c r="N172" s="16">
        <f t="shared" si="2"/>
        <v>2065.35</v>
      </c>
    </row>
    <row r="173" spans="3:14" x14ac:dyDescent="0.35">
      <c r="C173" s="10" t="s">
        <v>198</v>
      </c>
      <c r="D173" s="10" t="s">
        <v>48</v>
      </c>
      <c r="E173" s="10" t="s">
        <v>26</v>
      </c>
      <c r="F173" s="10" t="s">
        <v>42</v>
      </c>
      <c r="G173" s="10" t="s">
        <v>24</v>
      </c>
      <c r="H173" s="10" t="s">
        <v>15</v>
      </c>
      <c r="I173" s="14">
        <v>45096</v>
      </c>
      <c r="J173" s="10">
        <v>491</v>
      </c>
      <c r="K173" s="10">
        <v>327</v>
      </c>
      <c r="L173" s="10">
        <v>105.76</v>
      </c>
      <c r="M173" s="16">
        <v>160557</v>
      </c>
      <c r="N173" s="16">
        <f t="shared" si="2"/>
        <v>160557</v>
      </c>
    </row>
    <row r="174" spans="3:14" x14ac:dyDescent="0.35">
      <c r="C174" s="10" t="s">
        <v>199</v>
      </c>
      <c r="D174" s="10" t="s">
        <v>17</v>
      </c>
      <c r="E174" s="10" t="s">
        <v>26</v>
      </c>
      <c r="F174" s="10" t="s">
        <v>19</v>
      </c>
      <c r="G174" s="10" t="s">
        <v>24</v>
      </c>
      <c r="H174" s="10" t="s">
        <v>20</v>
      </c>
      <c r="I174" s="14">
        <v>45097</v>
      </c>
      <c r="J174" s="10">
        <v>439</v>
      </c>
      <c r="K174" s="10">
        <v>383.77</v>
      </c>
      <c r="L174" s="10">
        <v>29.56</v>
      </c>
      <c r="M174" s="16">
        <v>168475.03</v>
      </c>
      <c r="N174" s="16">
        <f t="shared" si="2"/>
        <v>168475.03</v>
      </c>
    </row>
    <row r="175" spans="3:14" x14ac:dyDescent="0.35">
      <c r="C175" s="10" t="s">
        <v>200</v>
      </c>
      <c r="D175" s="10" t="s">
        <v>22</v>
      </c>
      <c r="E175" s="10" t="s">
        <v>18</v>
      </c>
      <c r="F175" s="10" t="s">
        <v>19</v>
      </c>
      <c r="G175" s="10" t="s">
        <v>14</v>
      </c>
      <c r="H175" s="10" t="s">
        <v>20</v>
      </c>
      <c r="I175" s="14">
        <v>45098</v>
      </c>
      <c r="J175" s="10">
        <v>235</v>
      </c>
      <c r="K175" s="10">
        <v>463.21</v>
      </c>
      <c r="L175" s="10">
        <v>384.01</v>
      </c>
      <c r="M175" s="16">
        <v>108854.35</v>
      </c>
      <c r="N175" s="16">
        <f t="shared" si="2"/>
        <v>108854.34999999999</v>
      </c>
    </row>
    <row r="176" spans="3:14" x14ac:dyDescent="0.35">
      <c r="C176" s="10" t="s">
        <v>201</v>
      </c>
      <c r="D176" s="10" t="s">
        <v>11</v>
      </c>
      <c r="E176" s="10" t="s">
        <v>26</v>
      </c>
      <c r="F176" s="10" t="s">
        <v>13</v>
      </c>
      <c r="G176" s="10" t="s">
        <v>14</v>
      </c>
      <c r="H176" s="10" t="s">
        <v>28</v>
      </c>
      <c r="I176" s="14">
        <v>45099</v>
      </c>
      <c r="J176" s="10">
        <v>294</v>
      </c>
      <c r="K176" s="10">
        <v>221.9</v>
      </c>
      <c r="L176" s="10">
        <v>192.35</v>
      </c>
      <c r="M176" s="16">
        <v>65238.6</v>
      </c>
      <c r="N176" s="16">
        <f t="shared" si="2"/>
        <v>65238.6</v>
      </c>
    </row>
    <row r="177" spans="3:14" x14ac:dyDescent="0.35">
      <c r="C177" s="10" t="s">
        <v>202</v>
      </c>
      <c r="D177" s="10" t="s">
        <v>17</v>
      </c>
      <c r="E177" s="10" t="s">
        <v>18</v>
      </c>
      <c r="F177" s="10" t="s">
        <v>27</v>
      </c>
      <c r="G177" s="10" t="s">
        <v>14</v>
      </c>
      <c r="H177" s="10" t="s">
        <v>15</v>
      </c>
      <c r="I177" s="14">
        <v>45100</v>
      </c>
      <c r="J177" s="10">
        <v>13</v>
      </c>
      <c r="K177" s="10">
        <v>451.18</v>
      </c>
      <c r="L177" s="10">
        <v>358.53</v>
      </c>
      <c r="M177" s="16">
        <v>5865.34</v>
      </c>
      <c r="N177" s="16">
        <f t="shared" si="2"/>
        <v>5865.34</v>
      </c>
    </row>
    <row r="178" spans="3:14" x14ac:dyDescent="0.35">
      <c r="C178" s="10" t="s">
        <v>203</v>
      </c>
      <c r="D178" s="10" t="s">
        <v>17</v>
      </c>
      <c r="E178" s="10" t="s">
        <v>50</v>
      </c>
      <c r="F178" s="10" t="s">
        <v>13</v>
      </c>
      <c r="G178" s="10" t="s">
        <v>14</v>
      </c>
      <c r="H178" s="10" t="s">
        <v>15</v>
      </c>
      <c r="I178" s="14">
        <v>45101</v>
      </c>
      <c r="J178" s="10">
        <v>474</v>
      </c>
      <c r="K178" s="10">
        <v>439.56</v>
      </c>
      <c r="L178" s="10">
        <v>130.24</v>
      </c>
      <c r="M178" s="16">
        <v>208351.44</v>
      </c>
      <c r="N178" s="16">
        <f t="shared" si="2"/>
        <v>208351.44</v>
      </c>
    </row>
    <row r="179" spans="3:14" x14ac:dyDescent="0.35">
      <c r="C179" s="10" t="s">
        <v>204</v>
      </c>
      <c r="D179" s="10" t="s">
        <v>48</v>
      </c>
      <c r="E179" s="10" t="s">
        <v>50</v>
      </c>
      <c r="F179" s="10" t="s">
        <v>27</v>
      </c>
      <c r="G179" s="10" t="s">
        <v>24</v>
      </c>
      <c r="H179" s="10" t="s">
        <v>28</v>
      </c>
      <c r="I179" s="14">
        <v>45102</v>
      </c>
      <c r="J179" s="10">
        <v>108</v>
      </c>
      <c r="K179" s="10">
        <v>162.01</v>
      </c>
      <c r="L179" s="10">
        <v>51.84</v>
      </c>
      <c r="M179" s="16">
        <v>17497.080000000002</v>
      </c>
      <c r="N179" s="16">
        <f t="shared" si="2"/>
        <v>17497.079999999998</v>
      </c>
    </row>
    <row r="180" spans="3:14" x14ac:dyDescent="0.35">
      <c r="C180" s="10" t="s">
        <v>205</v>
      </c>
      <c r="D180" s="10" t="s">
        <v>11</v>
      </c>
      <c r="E180" s="10" t="s">
        <v>18</v>
      </c>
      <c r="F180" s="10" t="s">
        <v>13</v>
      </c>
      <c r="G180" s="10" t="s">
        <v>14</v>
      </c>
      <c r="H180" s="10" t="s">
        <v>20</v>
      </c>
      <c r="I180" s="14">
        <v>45103</v>
      </c>
      <c r="J180" s="10">
        <v>406</v>
      </c>
      <c r="K180" s="10">
        <v>435.11</v>
      </c>
      <c r="L180" s="10">
        <v>190.79</v>
      </c>
      <c r="M180" s="16">
        <v>176654.66</v>
      </c>
      <c r="N180" s="16">
        <f t="shared" si="2"/>
        <v>176654.66</v>
      </c>
    </row>
    <row r="181" spans="3:14" x14ac:dyDescent="0.35">
      <c r="C181" s="10" t="s">
        <v>206</v>
      </c>
      <c r="D181" s="10" t="s">
        <v>11</v>
      </c>
      <c r="E181" s="10" t="s">
        <v>50</v>
      </c>
      <c r="F181" s="10" t="s">
        <v>23</v>
      </c>
      <c r="G181" s="10" t="s">
        <v>14</v>
      </c>
      <c r="H181" s="10" t="s">
        <v>28</v>
      </c>
      <c r="I181" s="14">
        <v>45104</v>
      </c>
      <c r="J181" s="10">
        <v>498</v>
      </c>
      <c r="K181" s="10">
        <v>190.96</v>
      </c>
      <c r="L181" s="10">
        <v>47.35</v>
      </c>
      <c r="M181" s="16">
        <v>95098.08</v>
      </c>
      <c r="N181" s="16">
        <f t="shared" si="2"/>
        <v>95098.08</v>
      </c>
    </row>
    <row r="182" spans="3:14" x14ac:dyDescent="0.35">
      <c r="C182" s="10" t="s">
        <v>207</v>
      </c>
      <c r="D182" s="10" t="s">
        <v>22</v>
      </c>
      <c r="E182" s="10" t="s">
        <v>50</v>
      </c>
      <c r="F182" s="10" t="s">
        <v>23</v>
      </c>
      <c r="G182" s="10" t="s">
        <v>24</v>
      </c>
      <c r="H182" s="10" t="s">
        <v>20</v>
      </c>
      <c r="I182" s="14">
        <v>45105</v>
      </c>
      <c r="J182" s="10">
        <v>48</v>
      </c>
      <c r="K182" s="10">
        <v>151.94999999999999</v>
      </c>
      <c r="L182" s="10">
        <v>195.43</v>
      </c>
      <c r="M182" s="16">
        <v>7293.5999999999995</v>
      </c>
      <c r="N182" s="16">
        <f t="shared" si="2"/>
        <v>7293.5999999999995</v>
      </c>
    </row>
    <row r="183" spans="3:14" x14ac:dyDescent="0.35">
      <c r="C183" s="10" t="s">
        <v>208</v>
      </c>
      <c r="D183" s="10" t="s">
        <v>11</v>
      </c>
      <c r="E183" s="10" t="s">
        <v>50</v>
      </c>
      <c r="F183" s="10" t="s">
        <v>23</v>
      </c>
      <c r="G183" s="10" t="s">
        <v>14</v>
      </c>
      <c r="H183" s="10" t="s">
        <v>15</v>
      </c>
      <c r="I183" s="14">
        <v>45106</v>
      </c>
      <c r="J183" s="10">
        <v>280</v>
      </c>
      <c r="K183" s="10">
        <v>326.29000000000002</v>
      </c>
      <c r="L183" s="10">
        <v>368.28</v>
      </c>
      <c r="M183" s="16">
        <v>91361.200000000012</v>
      </c>
      <c r="N183" s="16">
        <f t="shared" si="2"/>
        <v>91361.200000000012</v>
      </c>
    </row>
    <row r="184" spans="3:14" x14ac:dyDescent="0.35">
      <c r="C184" s="10" t="s">
        <v>209</v>
      </c>
      <c r="D184" s="10" t="s">
        <v>22</v>
      </c>
      <c r="E184" s="10" t="s">
        <v>31</v>
      </c>
      <c r="F184" s="10" t="s">
        <v>23</v>
      </c>
      <c r="G184" s="10" t="s">
        <v>14</v>
      </c>
      <c r="H184" s="10" t="s">
        <v>20</v>
      </c>
      <c r="I184" s="14">
        <v>45107</v>
      </c>
      <c r="J184" s="10">
        <v>384</v>
      </c>
      <c r="K184" s="10">
        <v>167.55</v>
      </c>
      <c r="L184" s="10">
        <v>209.27</v>
      </c>
      <c r="M184" s="16">
        <v>64339.199999999997</v>
      </c>
      <c r="N184" s="16">
        <f t="shared" si="2"/>
        <v>64339.200000000004</v>
      </c>
    </row>
    <row r="185" spans="3:14" x14ac:dyDescent="0.35">
      <c r="C185" s="10" t="s">
        <v>210</v>
      </c>
      <c r="D185" s="10" t="s">
        <v>11</v>
      </c>
      <c r="E185" s="10" t="s">
        <v>12</v>
      </c>
      <c r="F185" s="10" t="s">
        <v>42</v>
      </c>
      <c r="G185" s="10" t="s">
        <v>14</v>
      </c>
      <c r="H185" s="10" t="s">
        <v>28</v>
      </c>
      <c r="I185" s="14">
        <v>45108</v>
      </c>
      <c r="J185" s="10">
        <v>294</v>
      </c>
      <c r="K185" s="10">
        <v>316.95</v>
      </c>
      <c r="L185" s="10">
        <v>247.37</v>
      </c>
      <c r="M185" s="16">
        <v>93183.3</v>
      </c>
      <c r="N185" s="16">
        <f t="shared" si="2"/>
        <v>93183.3</v>
      </c>
    </row>
    <row r="186" spans="3:14" x14ac:dyDescent="0.35">
      <c r="C186" s="10" t="s">
        <v>211</v>
      </c>
      <c r="D186" s="10" t="s">
        <v>48</v>
      </c>
      <c r="E186" s="10" t="s">
        <v>26</v>
      </c>
      <c r="F186" s="10" t="s">
        <v>23</v>
      </c>
      <c r="G186" s="10" t="s">
        <v>14</v>
      </c>
      <c r="H186" s="10" t="s">
        <v>15</v>
      </c>
      <c r="I186" s="14">
        <v>45109</v>
      </c>
      <c r="J186" s="10">
        <v>166</v>
      </c>
      <c r="K186" s="10">
        <v>306.87</v>
      </c>
      <c r="L186" s="10">
        <v>64.34</v>
      </c>
      <c r="M186" s="16">
        <v>50940.42</v>
      </c>
      <c r="N186" s="16">
        <f t="shared" si="2"/>
        <v>50940.42</v>
      </c>
    </row>
    <row r="187" spans="3:14" x14ac:dyDescent="0.35">
      <c r="C187" s="10" t="s">
        <v>212</v>
      </c>
      <c r="D187" s="10" t="s">
        <v>11</v>
      </c>
      <c r="E187" s="10" t="s">
        <v>31</v>
      </c>
      <c r="F187" s="10" t="s">
        <v>19</v>
      </c>
      <c r="G187" s="10" t="s">
        <v>14</v>
      </c>
      <c r="H187" s="10" t="s">
        <v>28</v>
      </c>
      <c r="I187" s="14">
        <v>45110</v>
      </c>
      <c r="J187" s="10">
        <v>84</v>
      </c>
      <c r="K187" s="10">
        <v>283.89999999999998</v>
      </c>
      <c r="L187" s="10">
        <v>19.41</v>
      </c>
      <c r="M187" s="16">
        <v>23847.599999999999</v>
      </c>
      <c r="N187" s="16">
        <f t="shared" si="2"/>
        <v>23847.599999999999</v>
      </c>
    </row>
    <row r="188" spans="3:14" x14ac:dyDescent="0.35">
      <c r="C188" s="10" t="s">
        <v>213</v>
      </c>
      <c r="D188" s="10" t="s">
        <v>22</v>
      </c>
      <c r="E188" s="10" t="s">
        <v>50</v>
      </c>
      <c r="F188" s="10" t="s">
        <v>19</v>
      </c>
      <c r="G188" s="10" t="s">
        <v>14</v>
      </c>
      <c r="H188" s="10" t="s">
        <v>28</v>
      </c>
      <c r="I188" s="14">
        <v>45111</v>
      </c>
      <c r="J188" s="10">
        <v>381</v>
      </c>
      <c r="K188" s="10">
        <v>193.31</v>
      </c>
      <c r="L188" s="10">
        <v>46.1</v>
      </c>
      <c r="M188" s="16">
        <v>73651.11</v>
      </c>
      <c r="N188" s="16">
        <f t="shared" si="2"/>
        <v>73651.11</v>
      </c>
    </row>
    <row r="189" spans="3:14" x14ac:dyDescent="0.35">
      <c r="C189" s="10" t="s">
        <v>214</v>
      </c>
      <c r="D189" s="10" t="s">
        <v>22</v>
      </c>
      <c r="E189" s="10" t="s">
        <v>18</v>
      </c>
      <c r="F189" s="10" t="s">
        <v>42</v>
      </c>
      <c r="G189" s="10" t="s">
        <v>24</v>
      </c>
      <c r="H189" s="10" t="s">
        <v>20</v>
      </c>
      <c r="I189" s="14">
        <v>45112</v>
      </c>
      <c r="J189" s="10">
        <v>297</v>
      </c>
      <c r="K189" s="10">
        <v>276.51</v>
      </c>
      <c r="L189" s="10">
        <v>240.22</v>
      </c>
      <c r="M189" s="16">
        <v>82123.47</v>
      </c>
      <c r="N189" s="16">
        <f t="shared" si="2"/>
        <v>82123.47</v>
      </c>
    </row>
    <row r="190" spans="3:14" x14ac:dyDescent="0.35">
      <c r="C190" s="10" t="s">
        <v>215</v>
      </c>
      <c r="D190" s="10" t="s">
        <v>48</v>
      </c>
      <c r="E190" s="10" t="s">
        <v>50</v>
      </c>
      <c r="F190" s="10" t="s">
        <v>23</v>
      </c>
      <c r="G190" s="10" t="s">
        <v>24</v>
      </c>
      <c r="H190" s="10" t="s">
        <v>28</v>
      </c>
      <c r="I190" s="14">
        <v>45113</v>
      </c>
      <c r="J190" s="10">
        <v>139</v>
      </c>
      <c r="K190" s="10">
        <v>300.26</v>
      </c>
      <c r="L190" s="10">
        <v>39.81</v>
      </c>
      <c r="M190" s="16">
        <v>41736.14</v>
      </c>
      <c r="N190" s="16">
        <f t="shared" si="2"/>
        <v>41736.14</v>
      </c>
    </row>
    <row r="191" spans="3:14" x14ac:dyDescent="0.35">
      <c r="C191" s="10" t="s">
        <v>216</v>
      </c>
      <c r="D191" s="10" t="s">
        <v>11</v>
      </c>
      <c r="E191" s="10" t="s">
        <v>12</v>
      </c>
      <c r="F191" s="10" t="s">
        <v>23</v>
      </c>
      <c r="G191" s="10" t="s">
        <v>14</v>
      </c>
      <c r="H191" s="10" t="s">
        <v>20</v>
      </c>
      <c r="I191" s="14">
        <v>45114</v>
      </c>
      <c r="J191" s="10">
        <v>184</v>
      </c>
      <c r="K191" s="10">
        <v>275.12</v>
      </c>
      <c r="L191" s="10">
        <v>151.65</v>
      </c>
      <c r="M191" s="16">
        <v>50622.080000000002</v>
      </c>
      <c r="N191" s="16">
        <f t="shared" si="2"/>
        <v>50622.080000000002</v>
      </c>
    </row>
    <row r="192" spans="3:14" x14ac:dyDescent="0.35">
      <c r="C192" s="10" t="s">
        <v>217</v>
      </c>
      <c r="D192" s="10" t="s">
        <v>11</v>
      </c>
      <c r="E192" s="10" t="s">
        <v>50</v>
      </c>
      <c r="F192" s="10" t="s">
        <v>23</v>
      </c>
      <c r="G192" s="10" t="s">
        <v>14</v>
      </c>
      <c r="H192" s="10" t="s">
        <v>15</v>
      </c>
      <c r="I192" s="14">
        <v>45115</v>
      </c>
      <c r="J192" s="10">
        <v>471</v>
      </c>
      <c r="K192" s="10">
        <v>224.99</v>
      </c>
      <c r="L192" s="10">
        <v>220.94</v>
      </c>
      <c r="M192" s="16">
        <v>105970.29</v>
      </c>
      <c r="N192" s="16">
        <f t="shared" si="2"/>
        <v>105970.29000000001</v>
      </c>
    </row>
    <row r="193" spans="3:14" x14ac:dyDescent="0.35">
      <c r="C193" s="10" t="s">
        <v>218</v>
      </c>
      <c r="D193" s="10" t="s">
        <v>48</v>
      </c>
      <c r="E193" s="10" t="s">
        <v>18</v>
      </c>
      <c r="F193" s="10" t="s">
        <v>13</v>
      </c>
      <c r="G193" s="10" t="s">
        <v>24</v>
      </c>
      <c r="H193" s="10" t="s">
        <v>20</v>
      </c>
      <c r="I193" s="14">
        <v>45116</v>
      </c>
      <c r="J193" s="10">
        <v>93</v>
      </c>
      <c r="K193" s="10">
        <v>12.26</v>
      </c>
      <c r="L193" s="10">
        <v>156.68</v>
      </c>
      <c r="M193" s="16">
        <v>1140.18</v>
      </c>
      <c r="N193" s="16">
        <f t="shared" si="2"/>
        <v>1140.18</v>
      </c>
    </row>
    <row r="194" spans="3:14" x14ac:dyDescent="0.35">
      <c r="C194" s="10" t="s">
        <v>219</v>
      </c>
      <c r="D194" s="10" t="s">
        <v>11</v>
      </c>
      <c r="E194" s="10" t="s">
        <v>12</v>
      </c>
      <c r="F194" s="10" t="s">
        <v>27</v>
      </c>
      <c r="G194" s="10" t="s">
        <v>14</v>
      </c>
      <c r="H194" s="10" t="s">
        <v>15</v>
      </c>
      <c r="I194" s="14">
        <v>45117</v>
      </c>
      <c r="J194" s="10">
        <v>31</v>
      </c>
      <c r="K194" s="10">
        <v>295.60000000000002</v>
      </c>
      <c r="L194" s="10">
        <v>67.150000000000006</v>
      </c>
      <c r="M194" s="16">
        <v>9163.6</v>
      </c>
      <c r="N194" s="16">
        <f t="shared" si="2"/>
        <v>9163.6</v>
      </c>
    </row>
    <row r="195" spans="3:14" x14ac:dyDescent="0.35">
      <c r="C195" s="10" t="s">
        <v>220</v>
      </c>
      <c r="D195" s="10" t="s">
        <v>11</v>
      </c>
      <c r="E195" s="10" t="s">
        <v>50</v>
      </c>
      <c r="F195" s="10" t="s">
        <v>13</v>
      </c>
      <c r="G195" s="10" t="s">
        <v>14</v>
      </c>
      <c r="H195" s="10" t="s">
        <v>20</v>
      </c>
      <c r="I195" s="14">
        <v>45118</v>
      </c>
      <c r="J195" s="10">
        <v>468</v>
      </c>
      <c r="K195" s="10">
        <v>88.38</v>
      </c>
      <c r="L195" s="10">
        <v>110.97</v>
      </c>
      <c r="M195" s="16">
        <v>41361.839999999997</v>
      </c>
      <c r="N195" s="16">
        <f t="shared" si="2"/>
        <v>41361.839999999997</v>
      </c>
    </row>
    <row r="196" spans="3:14" x14ac:dyDescent="0.35">
      <c r="C196" s="10" t="s">
        <v>221</v>
      </c>
      <c r="D196" s="10" t="s">
        <v>22</v>
      </c>
      <c r="E196" s="10" t="s">
        <v>12</v>
      </c>
      <c r="F196" s="10" t="s">
        <v>27</v>
      </c>
      <c r="G196" s="10" t="s">
        <v>14</v>
      </c>
      <c r="H196" s="10" t="s">
        <v>28</v>
      </c>
      <c r="I196" s="14">
        <v>45119</v>
      </c>
      <c r="J196" s="10">
        <v>36</v>
      </c>
      <c r="K196" s="10">
        <v>323.08</v>
      </c>
      <c r="L196" s="10">
        <v>371.47</v>
      </c>
      <c r="M196" s="16">
        <v>11630.88</v>
      </c>
      <c r="N196" s="16">
        <f t="shared" si="2"/>
        <v>11630.88</v>
      </c>
    </row>
    <row r="197" spans="3:14" x14ac:dyDescent="0.35">
      <c r="C197" s="10" t="s">
        <v>222</v>
      </c>
      <c r="D197" s="10" t="s">
        <v>11</v>
      </c>
      <c r="E197" s="10" t="s">
        <v>26</v>
      </c>
      <c r="F197" s="10" t="s">
        <v>23</v>
      </c>
      <c r="G197" s="10" t="s">
        <v>24</v>
      </c>
      <c r="H197" s="10" t="s">
        <v>20</v>
      </c>
      <c r="I197" s="14">
        <v>45120</v>
      </c>
      <c r="J197" s="10">
        <v>204</v>
      </c>
      <c r="K197" s="10">
        <v>380.88</v>
      </c>
      <c r="L197" s="10">
        <v>271.04000000000002</v>
      </c>
      <c r="M197" s="16">
        <v>77699.520000000004</v>
      </c>
      <c r="N197" s="16">
        <f t="shared" ref="N197:N260" si="3">J197*K197</f>
        <v>77699.520000000004</v>
      </c>
    </row>
    <row r="198" spans="3:14" x14ac:dyDescent="0.35">
      <c r="C198" s="10" t="s">
        <v>223</v>
      </c>
      <c r="D198" s="10" t="s">
        <v>11</v>
      </c>
      <c r="E198" s="10" t="s">
        <v>26</v>
      </c>
      <c r="F198" s="10" t="s">
        <v>23</v>
      </c>
      <c r="G198" s="10" t="s">
        <v>14</v>
      </c>
      <c r="H198" s="10" t="s">
        <v>20</v>
      </c>
      <c r="I198" s="14">
        <v>45121</v>
      </c>
      <c r="J198" s="10">
        <v>346</v>
      </c>
      <c r="K198" s="10">
        <v>252.72</v>
      </c>
      <c r="L198" s="10">
        <v>199.43</v>
      </c>
      <c r="M198" s="16">
        <v>87441.12</v>
      </c>
      <c r="N198" s="16">
        <f t="shared" si="3"/>
        <v>87441.12</v>
      </c>
    </row>
    <row r="199" spans="3:14" x14ac:dyDescent="0.35">
      <c r="C199" s="10" t="s">
        <v>224</v>
      </c>
      <c r="D199" s="10" t="s">
        <v>48</v>
      </c>
      <c r="E199" s="10" t="s">
        <v>50</v>
      </c>
      <c r="F199" s="10" t="s">
        <v>13</v>
      </c>
      <c r="G199" s="10" t="s">
        <v>24</v>
      </c>
      <c r="H199" s="10" t="s">
        <v>15</v>
      </c>
      <c r="I199" s="14">
        <v>45122</v>
      </c>
      <c r="J199" s="10">
        <v>391</v>
      </c>
      <c r="K199" s="10">
        <v>273.47000000000003</v>
      </c>
      <c r="L199" s="10">
        <v>7.06</v>
      </c>
      <c r="M199" s="16">
        <v>106926.77</v>
      </c>
      <c r="N199" s="16">
        <f t="shared" si="3"/>
        <v>106926.77</v>
      </c>
    </row>
    <row r="200" spans="3:14" x14ac:dyDescent="0.35">
      <c r="C200" s="10" t="s">
        <v>225</v>
      </c>
      <c r="D200" s="10" t="s">
        <v>48</v>
      </c>
      <c r="E200" s="10" t="s">
        <v>12</v>
      </c>
      <c r="F200" s="10" t="s">
        <v>13</v>
      </c>
      <c r="G200" s="10" t="s">
        <v>14</v>
      </c>
      <c r="H200" s="10" t="s">
        <v>28</v>
      </c>
      <c r="I200" s="14">
        <v>45123</v>
      </c>
      <c r="J200" s="10">
        <v>245</v>
      </c>
      <c r="K200" s="10">
        <v>475.98</v>
      </c>
      <c r="L200" s="10">
        <v>396.98</v>
      </c>
      <c r="M200" s="16">
        <v>116615.1</v>
      </c>
      <c r="N200" s="16">
        <f t="shared" si="3"/>
        <v>116615.1</v>
      </c>
    </row>
    <row r="201" spans="3:14" x14ac:dyDescent="0.35">
      <c r="C201" s="10" t="s">
        <v>226</v>
      </c>
      <c r="D201" s="10" t="s">
        <v>17</v>
      </c>
      <c r="E201" s="10" t="s">
        <v>18</v>
      </c>
      <c r="F201" s="10" t="s">
        <v>27</v>
      </c>
      <c r="G201" s="10" t="s">
        <v>24</v>
      </c>
      <c r="H201" s="10" t="s">
        <v>20</v>
      </c>
      <c r="I201" s="14">
        <v>45124</v>
      </c>
      <c r="J201" s="10">
        <v>449</v>
      </c>
      <c r="K201" s="10">
        <v>424.35</v>
      </c>
      <c r="L201" s="10">
        <v>269.24</v>
      </c>
      <c r="M201" s="16">
        <v>190533.15</v>
      </c>
      <c r="N201" s="16">
        <f t="shared" si="3"/>
        <v>190533.15000000002</v>
      </c>
    </row>
    <row r="202" spans="3:14" x14ac:dyDescent="0.35">
      <c r="C202" s="10" t="s">
        <v>227</v>
      </c>
      <c r="D202" s="10" t="s">
        <v>22</v>
      </c>
      <c r="E202" s="10" t="s">
        <v>50</v>
      </c>
      <c r="F202" s="10" t="s">
        <v>19</v>
      </c>
      <c r="G202" s="10" t="s">
        <v>24</v>
      </c>
      <c r="H202" s="10" t="s">
        <v>28</v>
      </c>
      <c r="I202" s="14">
        <v>45125</v>
      </c>
      <c r="J202" s="10">
        <v>101</v>
      </c>
      <c r="K202" s="10">
        <v>457.55</v>
      </c>
      <c r="L202" s="10">
        <v>128.13999999999999</v>
      </c>
      <c r="M202" s="16">
        <v>46212.55</v>
      </c>
      <c r="N202" s="16">
        <f t="shared" si="3"/>
        <v>46212.55</v>
      </c>
    </row>
    <row r="203" spans="3:14" x14ac:dyDescent="0.35">
      <c r="C203" s="10" t="s">
        <v>228</v>
      </c>
      <c r="D203" s="10" t="s">
        <v>11</v>
      </c>
      <c r="E203" s="10" t="s">
        <v>26</v>
      </c>
      <c r="F203" s="10" t="s">
        <v>27</v>
      </c>
      <c r="G203" s="10" t="s">
        <v>14</v>
      </c>
      <c r="H203" s="10" t="s">
        <v>20</v>
      </c>
      <c r="I203" s="14">
        <v>45126</v>
      </c>
      <c r="J203" s="10">
        <v>65.5</v>
      </c>
      <c r="K203" s="10">
        <v>407.81</v>
      </c>
      <c r="L203" s="10">
        <v>351.95</v>
      </c>
      <c r="M203" s="16">
        <v>26711.555</v>
      </c>
      <c r="N203" s="16">
        <f t="shared" si="3"/>
        <v>26711.555</v>
      </c>
    </row>
    <row r="204" spans="3:14" x14ac:dyDescent="0.35">
      <c r="C204" s="10" t="s">
        <v>229</v>
      </c>
      <c r="D204" s="10" t="s">
        <v>11</v>
      </c>
      <c r="E204" s="10" t="s">
        <v>26</v>
      </c>
      <c r="F204" s="10" t="s">
        <v>13</v>
      </c>
      <c r="G204" s="10" t="s">
        <v>24</v>
      </c>
      <c r="H204" s="10" t="s">
        <v>20</v>
      </c>
      <c r="I204" s="14">
        <v>45127</v>
      </c>
      <c r="J204" s="10">
        <v>30</v>
      </c>
      <c r="K204" s="10">
        <v>58.91</v>
      </c>
      <c r="L204" s="10">
        <v>104.86</v>
      </c>
      <c r="M204" s="16">
        <v>1767.3</v>
      </c>
      <c r="N204" s="16">
        <f t="shared" si="3"/>
        <v>1767.3</v>
      </c>
    </row>
    <row r="205" spans="3:14" x14ac:dyDescent="0.35">
      <c r="C205" s="10" t="s">
        <v>230</v>
      </c>
      <c r="D205" s="10" t="s">
        <v>17</v>
      </c>
      <c r="E205" s="10" t="s">
        <v>50</v>
      </c>
      <c r="F205" s="10" t="s">
        <v>13</v>
      </c>
      <c r="G205" s="10" t="s">
        <v>14</v>
      </c>
      <c r="H205" s="10" t="s">
        <v>28</v>
      </c>
      <c r="I205" s="14">
        <v>45128</v>
      </c>
      <c r="J205" s="10">
        <v>312</v>
      </c>
      <c r="K205" s="10">
        <v>78.75</v>
      </c>
      <c r="L205" s="10">
        <v>218.52</v>
      </c>
      <c r="M205" s="16">
        <v>24570</v>
      </c>
      <c r="N205" s="16">
        <f t="shared" si="3"/>
        <v>24570</v>
      </c>
    </row>
    <row r="206" spans="3:14" x14ac:dyDescent="0.35">
      <c r="C206" s="10" t="s">
        <v>231</v>
      </c>
      <c r="D206" s="10" t="s">
        <v>11</v>
      </c>
      <c r="E206" s="10" t="s">
        <v>12</v>
      </c>
      <c r="F206" s="10" t="s">
        <v>42</v>
      </c>
      <c r="G206" s="10" t="s">
        <v>24</v>
      </c>
      <c r="H206" s="10" t="s">
        <v>20</v>
      </c>
      <c r="I206" s="14">
        <v>45129</v>
      </c>
      <c r="J206" s="10">
        <v>473</v>
      </c>
      <c r="K206" s="10">
        <v>265.68</v>
      </c>
      <c r="L206" s="10">
        <v>255.16</v>
      </c>
      <c r="M206" s="16">
        <v>125666.64</v>
      </c>
      <c r="N206" s="16">
        <f t="shared" si="3"/>
        <v>125666.64</v>
      </c>
    </row>
    <row r="207" spans="3:14" x14ac:dyDescent="0.35">
      <c r="C207" s="10" t="s">
        <v>232</v>
      </c>
      <c r="D207" s="10" t="s">
        <v>22</v>
      </c>
      <c r="E207" s="10" t="s">
        <v>26</v>
      </c>
      <c r="F207" s="10" t="s">
        <v>13</v>
      </c>
      <c r="G207" s="10" t="s">
        <v>14</v>
      </c>
      <c r="H207" s="10" t="s">
        <v>28</v>
      </c>
      <c r="I207" s="14">
        <v>45130</v>
      </c>
      <c r="J207" s="10">
        <v>366</v>
      </c>
      <c r="K207" s="10">
        <v>126.8</v>
      </c>
      <c r="L207" s="10">
        <v>89.98</v>
      </c>
      <c r="M207" s="16">
        <v>46408.800000000003</v>
      </c>
      <c r="N207" s="16">
        <f t="shared" si="3"/>
        <v>46408.799999999996</v>
      </c>
    </row>
    <row r="208" spans="3:14" x14ac:dyDescent="0.35">
      <c r="C208" s="10" t="s">
        <v>233</v>
      </c>
      <c r="D208" s="10" t="s">
        <v>17</v>
      </c>
      <c r="E208" s="10" t="s">
        <v>12</v>
      </c>
      <c r="F208" s="10" t="s">
        <v>42</v>
      </c>
      <c r="G208" s="10" t="s">
        <v>14</v>
      </c>
      <c r="H208" s="10" t="s">
        <v>20</v>
      </c>
      <c r="I208" s="14">
        <v>45131</v>
      </c>
      <c r="J208" s="10">
        <v>452</v>
      </c>
      <c r="K208" s="10">
        <v>240.96</v>
      </c>
      <c r="L208" s="10">
        <v>391.4</v>
      </c>
      <c r="M208" s="16">
        <v>108913.92</v>
      </c>
      <c r="N208" s="16">
        <f t="shared" si="3"/>
        <v>108913.92</v>
      </c>
    </row>
    <row r="209" spans="3:14" x14ac:dyDescent="0.35">
      <c r="C209" s="10" t="s">
        <v>234</v>
      </c>
      <c r="D209" s="10" t="s">
        <v>22</v>
      </c>
      <c r="E209" s="10" t="s">
        <v>26</v>
      </c>
      <c r="F209" s="10" t="s">
        <v>19</v>
      </c>
      <c r="G209" s="10" t="s">
        <v>24</v>
      </c>
      <c r="H209" s="10" t="s">
        <v>15</v>
      </c>
      <c r="I209" s="14">
        <v>45132</v>
      </c>
      <c r="J209" s="10">
        <v>93</v>
      </c>
      <c r="K209" s="10">
        <v>200.21</v>
      </c>
      <c r="L209" s="10">
        <v>299.77999999999997</v>
      </c>
      <c r="M209" s="16">
        <v>18619.53</v>
      </c>
      <c r="N209" s="16">
        <f t="shared" si="3"/>
        <v>18619.530000000002</v>
      </c>
    </row>
    <row r="210" spans="3:14" x14ac:dyDescent="0.35">
      <c r="C210" s="10" t="s">
        <v>235</v>
      </c>
      <c r="D210" s="10" t="s">
        <v>17</v>
      </c>
      <c r="E210" s="10" t="s">
        <v>26</v>
      </c>
      <c r="F210" s="10" t="s">
        <v>27</v>
      </c>
      <c r="G210" s="10" t="s">
        <v>14</v>
      </c>
      <c r="H210" s="10" t="s">
        <v>28</v>
      </c>
      <c r="I210" s="14">
        <v>45133</v>
      </c>
      <c r="J210" s="10">
        <v>271</v>
      </c>
      <c r="K210" s="10">
        <v>276.95999999999998</v>
      </c>
      <c r="L210" s="10">
        <v>224.01</v>
      </c>
      <c r="M210" s="16">
        <v>75056.159999999989</v>
      </c>
      <c r="N210" s="16">
        <f t="shared" si="3"/>
        <v>75056.159999999989</v>
      </c>
    </row>
    <row r="211" spans="3:14" x14ac:dyDescent="0.35">
      <c r="C211" s="10" t="s">
        <v>236</v>
      </c>
      <c r="D211" s="10" t="s">
        <v>17</v>
      </c>
      <c r="E211" s="10" t="s">
        <v>31</v>
      </c>
      <c r="F211" s="10" t="s">
        <v>27</v>
      </c>
      <c r="G211" s="10" t="s">
        <v>14</v>
      </c>
      <c r="H211" s="10" t="s">
        <v>20</v>
      </c>
      <c r="I211" s="14">
        <v>45134</v>
      </c>
      <c r="J211" s="10">
        <v>156</v>
      </c>
      <c r="K211" s="10">
        <v>374.7</v>
      </c>
      <c r="L211" s="10">
        <v>73.88</v>
      </c>
      <c r="M211" s="16">
        <v>58453.2</v>
      </c>
      <c r="N211" s="16">
        <f t="shared" si="3"/>
        <v>58453.2</v>
      </c>
    </row>
    <row r="212" spans="3:14" x14ac:dyDescent="0.35">
      <c r="C212" s="10" t="s">
        <v>237</v>
      </c>
      <c r="D212" s="10" t="s">
        <v>48</v>
      </c>
      <c r="E212" s="10" t="s">
        <v>26</v>
      </c>
      <c r="F212" s="10" t="s">
        <v>42</v>
      </c>
      <c r="G212" s="10" t="s">
        <v>24</v>
      </c>
      <c r="H212" s="10" t="s">
        <v>20</v>
      </c>
      <c r="I212" s="14">
        <v>45135</v>
      </c>
      <c r="J212" s="10">
        <v>450</v>
      </c>
      <c r="K212" s="10">
        <v>359.17</v>
      </c>
      <c r="L212" s="10">
        <v>23.44</v>
      </c>
      <c r="M212" s="16">
        <v>161626.5</v>
      </c>
      <c r="N212" s="16">
        <f t="shared" si="3"/>
        <v>161626.5</v>
      </c>
    </row>
    <row r="213" spans="3:14" x14ac:dyDescent="0.35">
      <c r="C213" s="10" t="s">
        <v>238</v>
      </c>
      <c r="D213" s="10" t="s">
        <v>22</v>
      </c>
      <c r="E213" s="10" t="s">
        <v>18</v>
      </c>
      <c r="F213" s="10" t="s">
        <v>27</v>
      </c>
      <c r="G213" s="10" t="s">
        <v>14</v>
      </c>
      <c r="H213" s="10" t="s">
        <v>15</v>
      </c>
      <c r="I213" s="14">
        <v>45136</v>
      </c>
      <c r="J213" s="10">
        <v>462</v>
      </c>
      <c r="K213" s="10">
        <v>263.01</v>
      </c>
      <c r="L213" s="10">
        <v>129.38</v>
      </c>
      <c r="M213" s="16">
        <v>121510.62</v>
      </c>
      <c r="N213" s="16">
        <f t="shared" si="3"/>
        <v>121510.62</v>
      </c>
    </row>
    <row r="214" spans="3:14" x14ac:dyDescent="0.35">
      <c r="C214" s="10" t="s">
        <v>239</v>
      </c>
      <c r="D214" s="10" t="s">
        <v>11</v>
      </c>
      <c r="E214" s="10" t="s">
        <v>50</v>
      </c>
      <c r="F214" s="10"/>
      <c r="G214" s="10" t="s">
        <v>14</v>
      </c>
      <c r="H214" s="10" t="s">
        <v>28</v>
      </c>
      <c r="I214" s="14">
        <v>45137</v>
      </c>
      <c r="J214" s="10">
        <v>396</v>
      </c>
      <c r="K214" s="10">
        <v>412.08</v>
      </c>
      <c r="L214" s="10">
        <v>301.77</v>
      </c>
      <c r="M214" s="16">
        <v>163183.67999999999</v>
      </c>
      <c r="N214" s="16">
        <f t="shared" si="3"/>
        <v>163183.67999999999</v>
      </c>
    </row>
    <row r="215" spans="3:14" x14ac:dyDescent="0.35">
      <c r="C215" s="10" t="s">
        <v>240</v>
      </c>
      <c r="D215" s="10" t="s">
        <v>11</v>
      </c>
      <c r="E215" s="10" t="s">
        <v>50</v>
      </c>
      <c r="F215" s="10" t="s">
        <v>23</v>
      </c>
      <c r="G215" s="10" t="s">
        <v>24</v>
      </c>
      <c r="H215" s="10" t="s">
        <v>20</v>
      </c>
      <c r="I215" s="14">
        <v>45138</v>
      </c>
      <c r="J215" s="10">
        <v>266</v>
      </c>
      <c r="K215" s="10">
        <v>218.28</v>
      </c>
      <c r="L215" s="10">
        <v>109.19</v>
      </c>
      <c r="M215" s="16">
        <v>58062.48</v>
      </c>
      <c r="N215" s="16">
        <f t="shared" si="3"/>
        <v>58062.48</v>
      </c>
    </row>
    <row r="216" spans="3:14" x14ac:dyDescent="0.35">
      <c r="C216" s="10" t="s">
        <v>241</v>
      </c>
      <c r="D216" s="10" t="s">
        <v>22</v>
      </c>
      <c r="E216" s="10" t="s">
        <v>12</v>
      </c>
      <c r="F216" s="10" t="s">
        <v>42</v>
      </c>
      <c r="G216" s="10" t="s">
        <v>24</v>
      </c>
      <c r="H216" s="10" t="s">
        <v>15</v>
      </c>
      <c r="I216" s="14">
        <v>45139</v>
      </c>
      <c r="J216" s="10">
        <v>67</v>
      </c>
      <c r="K216" s="10">
        <v>448.87</v>
      </c>
      <c r="L216" s="10">
        <v>216.74</v>
      </c>
      <c r="M216" s="16">
        <v>30074.29</v>
      </c>
      <c r="N216" s="16">
        <f t="shared" si="3"/>
        <v>30074.29</v>
      </c>
    </row>
    <row r="217" spans="3:14" x14ac:dyDescent="0.35">
      <c r="C217" s="10" t="s">
        <v>242</v>
      </c>
      <c r="D217" s="10" t="s">
        <v>11</v>
      </c>
      <c r="E217" s="10" t="s">
        <v>26</v>
      </c>
      <c r="F217" s="10" t="s">
        <v>27</v>
      </c>
      <c r="G217" s="10" t="s">
        <v>14</v>
      </c>
      <c r="H217" s="10" t="s">
        <v>20</v>
      </c>
      <c r="I217" s="14">
        <v>45140</v>
      </c>
      <c r="J217" s="10">
        <v>389</v>
      </c>
      <c r="K217" s="10">
        <v>40.28</v>
      </c>
      <c r="L217" s="10">
        <v>291.72000000000003</v>
      </c>
      <c r="M217" s="16">
        <v>15668.92</v>
      </c>
      <c r="N217" s="16">
        <f t="shared" si="3"/>
        <v>15668.92</v>
      </c>
    </row>
    <row r="218" spans="3:14" x14ac:dyDescent="0.35">
      <c r="C218" s="10" t="s">
        <v>243</v>
      </c>
      <c r="D218" s="10" t="s">
        <v>11</v>
      </c>
      <c r="E218" s="10" t="s">
        <v>18</v>
      </c>
      <c r="F218" s="10" t="s">
        <v>42</v>
      </c>
      <c r="G218" s="10" t="s">
        <v>14</v>
      </c>
      <c r="H218" s="10" t="s">
        <v>28</v>
      </c>
      <c r="I218" s="14">
        <v>45141</v>
      </c>
      <c r="J218" s="10">
        <v>431</v>
      </c>
      <c r="K218" s="10">
        <v>477.56</v>
      </c>
      <c r="L218" s="10">
        <v>44.96</v>
      </c>
      <c r="M218" s="16">
        <v>205828.36</v>
      </c>
      <c r="N218" s="16">
        <f t="shared" si="3"/>
        <v>205828.36000000002</v>
      </c>
    </row>
    <row r="219" spans="3:14" x14ac:dyDescent="0.35">
      <c r="C219" s="10" t="s">
        <v>244</v>
      </c>
      <c r="D219" s="10" t="s">
        <v>22</v>
      </c>
      <c r="E219" s="10" t="s">
        <v>12</v>
      </c>
      <c r="F219" s="10" t="s">
        <v>42</v>
      </c>
      <c r="G219" s="10" t="s">
        <v>24</v>
      </c>
      <c r="H219" s="10" t="s">
        <v>20</v>
      </c>
      <c r="I219" s="14">
        <v>45142</v>
      </c>
      <c r="J219" s="10">
        <v>24</v>
      </c>
      <c r="K219" s="10">
        <v>329.07</v>
      </c>
      <c r="L219" s="10">
        <v>274.75</v>
      </c>
      <c r="M219" s="16">
        <v>7897.68</v>
      </c>
      <c r="N219" s="16">
        <f t="shared" si="3"/>
        <v>7897.68</v>
      </c>
    </row>
    <row r="220" spans="3:14" x14ac:dyDescent="0.35">
      <c r="C220" s="10" t="s">
        <v>245</v>
      </c>
      <c r="D220" s="10" t="s">
        <v>17</v>
      </c>
      <c r="E220" s="10" t="s">
        <v>31</v>
      </c>
      <c r="F220" s="10" t="s">
        <v>23</v>
      </c>
      <c r="G220" s="10" t="s">
        <v>24</v>
      </c>
      <c r="H220" s="10" t="s">
        <v>20</v>
      </c>
      <c r="I220" s="14">
        <v>45143</v>
      </c>
      <c r="J220" s="10">
        <v>171</v>
      </c>
      <c r="K220" s="10">
        <v>193.14</v>
      </c>
      <c r="L220" s="10">
        <v>38.56</v>
      </c>
      <c r="M220" s="16">
        <v>33026.94</v>
      </c>
      <c r="N220" s="16">
        <f t="shared" si="3"/>
        <v>33026.939999999995</v>
      </c>
    </row>
    <row r="221" spans="3:14" x14ac:dyDescent="0.35">
      <c r="C221" s="10" t="s">
        <v>246</v>
      </c>
      <c r="D221" s="10" t="s">
        <v>22</v>
      </c>
      <c r="E221" s="10" t="s">
        <v>12</v>
      </c>
      <c r="F221" s="10" t="s">
        <v>13</v>
      </c>
      <c r="G221" s="10" t="s">
        <v>14</v>
      </c>
      <c r="H221" s="10" t="s">
        <v>20</v>
      </c>
      <c r="I221" s="14">
        <v>45144</v>
      </c>
      <c r="J221" s="10">
        <v>454</v>
      </c>
      <c r="K221" s="10">
        <v>102.59</v>
      </c>
      <c r="L221" s="10">
        <v>386.12</v>
      </c>
      <c r="M221" s="16">
        <v>46575.86</v>
      </c>
      <c r="N221" s="16">
        <f t="shared" si="3"/>
        <v>46575.86</v>
      </c>
    </row>
    <row r="222" spans="3:14" x14ac:dyDescent="0.35">
      <c r="C222" s="10" t="s">
        <v>247</v>
      </c>
      <c r="D222" s="10" t="s">
        <v>17</v>
      </c>
      <c r="E222" s="10" t="s">
        <v>12</v>
      </c>
      <c r="F222" s="10" t="s">
        <v>42</v>
      </c>
      <c r="G222" s="10" t="s">
        <v>24</v>
      </c>
      <c r="H222" s="10" t="s">
        <v>20</v>
      </c>
      <c r="I222" s="14">
        <v>45145</v>
      </c>
      <c r="J222" s="10">
        <v>172</v>
      </c>
      <c r="K222" s="10">
        <v>242.2</v>
      </c>
      <c r="L222" s="10">
        <v>196.38</v>
      </c>
      <c r="M222" s="16">
        <v>41658.400000000001</v>
      </c>
      <c r="N222" s="16">
        <f t="shared" si="3"/>
        <v>41658.400000000001</v>
      </c>
    </row>
    <row r="223" spans="3:14" x14ac:dyDescent="0.35">
      <c r="C223" s="10" t="s">
        <v>248</v>
      </c>
      <c r="D223" s="10" t="s">
        <v>11</v>
      </c>
      <c r="E223" s="10" t="s">
        <v>26</v>
      </c>
      <c r="F223" s="10" t="s">
        <v>27</v>
      </c>
      <c r="G223" s="10" t="s">
        <v>14</v>
      </c>
      <c r="H223" s="10" t="s">
        <v>15</v>
      </c>
      <c r="I223" s="14">
        <v>45146</v>
      </c>
      <c r="J223" s="10">
        <v>329</v>
      </c>
      <c r="K223" s="10">
        <v>101.31</v>
      </c>
      <c r="L223" s="10">
        <v>61.97</v>
      </c>
      <c r="M223" s="16">
        <v>33330.99</v>
      </c>
      <c r="N223" s="16">
        <f t="shared" si="3"/>
        <v>33330.99</v>
      </c>
    </row>
    <row r="224" spans="3:14" x14ac:dyDescent="0.35">
      <c r="C224" s="10" t="s">
        <v>249</v>
      </c>
      <c r="D224" s="10" t="s">
        <v>11</v>
      </c>
      <c r="E224" s="10" t="s">
        <v>31</v>
      </c>
      <c r="F224" s="10" t="s">
        <v>19</v>
      </c>
      <c r="G224" s="10" t="s">
        <v>14</v>
      </c>
      <c r="H224" s="10" t="s">
        <v>15</v>
      </c>
      <c r="I224" s="14">
        <v>45147</v>
      </c>
      <c r="J224" s="10">
        <v>290</v>
      </c>
      <c r="K224" s="10">
        <v>87.33</v>
      </c>
      <c r="L224" s="10">
        <v>138.27000000000001</v>
      </c>
      <c r="M224" s="16">
        <v>25325.7</v>
      </c>
      <c r="N224" s="16">
        <f t="shared" si="3"/>
        <v>25325.7</v>
      </c>
    </row>
    <row r="225" spans="3:14" x14ac:dyDescent="0.35">
      <c r="C225" s="10" t="s">
        <v>250</v>
      </c>
      <c r="D225" s="10"/>
      <c r="E225" s="10" t="s">
        <v>12</v>
      </c>
      <c r="F225" s="10" t="s">
        <v>42</v>
      </c>
      <c r="G225" s="10" t="s">
        <v>14</v>
      </c>
      <c r="H225" s="10" t="s">
        <v>28</v>
      </c>
      <c r="I225" s="14">
        <v>45148</v>
      </c>
      <c r="J225" s="10">
        <v>289</v>
      </c>
      <c r="K225" s="10">
        <v>310.58999999999997</v>
      </c>
      <c r="L225" s="10">
        <v>166.54</v>
      </c>
      <c r="M225" s="16">
        <v>89760.51</v>
      </c>
      <c r="N225" s="16">
        <f t="shared" si="3"/>
        <v>89760.51</v>
      </c>
    </row>
    <row r="226" spans="3:14" x14ac:dyDescent="0.35">
      <c r="C226" s="10" t="s">
        <v>251</v>
      </c>
      <c r="D226" s="10" t="s">
        <v>48</v>
      </c>
      <c r="E226" s="10" t="s">
        <v>18</v>
      </c>
      <c r="F226" s="10" t="s">
        <v>42</v>
      </c>
      <c r="G226" s="10" t="s">
        <v>14</v>
      </c>
      <c r="H226" s="10" t="s">
        <v>15</v>
      </c>
      <c r="I226" s="14">
        <v>45149</v>
      </c>
      <c r="J226" s="10">
        <v>21</v>
      </c>
      <c r="K226" s="10">
        <v>263.93</v>
      </c>
      <c r="L226" s="10">
        <v>303.76</v>
      </c>
      <c r="M226" s="16">
        <v>5542.53</v>
      </c>
      <c r="N226" s="16">
        <f t="shared" si="3"/>
        <v>5542.53</v>
      </c>
    </row>
    <row r="227" spans="3:14" x14ac:dyDescent="0.35">
      <c r="C227" s="10" t="s">
        <v>252</v>
      </c>
      <c r="D227" s="10" t="s">
        <v>17</v>
      </c>
      <c r="E227" s="10" t="s">
        <v>18</v>
      </c>
      <c r="F227" s="10" t="s">
        <v>23</v>
      </c>
      <c r="G227" s="10" t="s">
        <v>14</v>
      </c>
      <c r="H227" s="10" t="s">
        <v>15</v>
      </c>
      <c r="I227" s="14">
        <v>45150</v>
      </c>
      <c r="J227" s="10">
        <v>283</v>
      </c>
      <c r="K227" s="10">
        <v>336.7</v>
      </c>
      <c r="L227" s="10">
        <v>297.88</v>
      </c>
      <c r="M227" s="16">
        <v>95286.099999999991</v>
      </c>
      <c r="N227" s="16">
        <f t="shared" si="3"/>
        <v>95286.099999999991</v>
      </c>
    </row>
    <row r="228" spans="3:14" x14ac:dyDescent="0.35">
      <c r="C228" s="10" t="s">
        <v>253</v>
      </c>
      <c r="D228" s="10" t="s">
        <v>48</v>
      </c>
      <c r="E228" s="10" t="s">
        <v>50</v>
      </c>
      <c r="F228" s="10" t="s">
        <v>13</v>
      </c>
      <c r="G228" s="10" t="s">
        <v>24</v>
      </c>
      <c r="H228" s="10" t="s">
        <v>28</v>
      </c>
      <c r="I228" s="14">
        <v>45151</v>
      </c>
      <c r="J228" s="10">
        <v>280</v>
      </c>
      <c r="K228" s="10">
        <v>465.15</v>
      </c>
      <c r="L228" s="10">
        <v>245.55</v>
      </c>
      <c r="M228" s="16">
        <v>130242</v>
      </c>
      <c r="N228" s="16">
        <f t="shared" si="3"/>
        <v>130242</v>
      </c>
    </row>
    <row r="229" spans="3:14" x14ac:dyDescent="0.35">
      <c r="C229" s="10" t="s">
        <v>254</v>
      </c>
      <c r="D229" s="10" t="s">
        <v>48</v>
      </c>
      <c r="E229" s="10" t="s">
        <v>31</v>
      </c>
      <c r="F229" s="10" t="s">
        <v>19</v>
      </c>
      <c r="G229" s="10" t="s">
        <v>24</v>
      </c>
      <c r="H229" s="10" t="s">
        <v>15</v>
      </c>
      <c r="I229" s="14">
        <v>45152</v>
      </c>
      <c r="J229" s="10">
        <v>217</v>
      </c>
      <c r="K229" s="10">
        <v>268.47000000000003</v>
      </c>
      <c r="L229" s="10">
        <v>44.16</v>
      </c>
      <c r="M229" s="16">
        <v>58257.990000000013</v>
      </c>
      <c r="N229" s="16">
        <f t="shared" si="3"/>
        <v>58257.990000000005</v>
      </c>
    </row>
    <row r="230" spans="3:14" x14ac:dyDescent="0.35">
      <c r="C230" s="10" t="s">
        <v>255</v>
      </c>
      <c r="D230" s="10" t="s">
        <v>22</v>
      </c>
      <c r="E230" s="10" t="s">
        <v>31</v>
      </c>
      <c r="F230" s="10" t="s">
        <v>27</v>
      </c>
      <c r="G230" s="10" t="s">
        <v>24</v>
      </c>
      <c r="H230" s="10" t="s">
        <v>15</v>
      </c>
      <c r="I230" s="14">
        <v>45153</v>
      </c>
      <c r="J230" s="10">
        <v>36</v>
      </c>
      <c r="K230" s="10">
        <v>292.56</v>
      </c>
      <c r="L230" s="10">
        <v>62.32</v>
      </c>
      <c r="M230" s="16">
        <v>10532.16</v>
      </c>
      <c r="N230" s="16">
        <f t="shared" si="3"/>
        <v>10532.16</v>
      </c>
    </row>
    <row r="231" spans="3:14" x14ac:dyDescent="0.35">
      <c r="C231" s="10" t="s">
        <v>256</v>
      </c>
      <c r="D231" s="10" t="s">
        <v>48</v>
      </c>
      <c r="E231" s="10" t="s">
        <v>50</v>
      </c>
      <c r="F231" s="10" t="s">
        <v>19</v>
      </c>
      <c r="G231" s="10" t="s">
        <v>24</v>
      </c>
      <c r="H231" s="10" t="s">
        <v>28</v>
      </c>
      <c r="I231" s="14">
        <v>45154</v>
      </c>
      <c r="J231" s="10">
        <v>52.5</v>
      </c>
      <c r="K231" s="10">
        <v>49.37</v>
      </c>
      <c r="L231" s="10">
        <v>39.32</v>
      </c>
      <c r="M231" s="16">
        <v>2591.9250000000002</v>
      </c>
      <c r="N231" s="16">
        <f t="shared" si="3"/>
        <v>2591.9249999999997</v>
      </c>
    </row>
    <row r="232" spans="3:14" x14ac:dyDescent="0.35">
      <c r="C232" s="10" t="s">
        <v>257</v>
      </c>
      <c r="D232" s="10" t="s">
        <v>22</v>
      </c>
      <c r="E232" s="10" t="s">
        <v>12</v>
      </c>
      <c r="F232" s="10" t="s">
        <v>27</v>
      </c>
      <c r="G232" s="10" t="s">
        <v>14</v>
      </c>
      <c r="H232" s="10" t="s">
        <v>28</v>
      </c>
      <c r="I232" s="14">
        <v>45155</v>
      </c>
      <c r="J232" s="10">
        <v>69</v>
      </c>
      <c r="K232" s="10">
        <v>360.23</v>
      </c>
      <c r="L232" s="10">
        <v>231.71</v>
      </c>
      <c r="M232" s="16">
        <v>24855.87</v>
      </c>
      <c r="N232" s="16">
        <f t="shared" si="3"/>
        <v>24855.870000000003</v>
      </c>
    </row>
    <row r="233" spans="3:14" x14ac:dyDescent="0.35">
      <c r="C233" s="10" t="s">
        <v>258</v>
      </c>
      <c r="D233" s="10" t="s">
        <v>22</v>
      </c>
      <c r="E233" s="10" t="s">
        <v>31</v>
      </c>
      <c r="F233" s="10" t="s">
        <v>13</v>
      </c>
      <c r="G233" s="10" t="s">
        <v>14</v>
      </c>
      <c r="H233" s="10" t="s">
        <v>28</v>
      </c>
      <c r="I233" s="14">
        <v>45156</v>
      </c>
      <c r="J233" s="10">
        <v>439</v>
      </c>
      <c r="K233" s="10">
        <v>202.95</v>
      </c>
      <c r="L233" s="10">
        <v>351.1</v>
      </c>
      <c r="M233" s="16">
        <v>89095.049999999988</v>
      </c>
      <c r="N233" s="16">
        <f t="shared" si="3"/>
        <v>89095.049999999988</v>
      </c>
    </row>
    <row r="234" spans="3:14" x14ac:dyDescent="0.35">
      <c r="C234" s="10" t="s">
        <v>259</v>
      </c>
      <c r="D234" s="10" t="s">
        <v>48</v>
      </c>
      <c r="E234" s="10" t="s">
        <v>18</v>
      </c>
      <c r="F234" s="10" t="s">
        <v>27</v>
      </c>
      <c r="G234" s="10" t="s">
        <v>14</v>
      </c>
      <c r="H234" s="10" t="s">
        <v>20</v>
      </c>
      <c r="I234" s="14">
        <v>45157</v>
      </c>
      <c r="J234" s="10">
        <v>482</v>
      </c>
      <c r="K234" s="10">
        <v>488.48</v>
      </c>
      <c r="L234" s="10">
        <v>174.65</v>
      </c>
      <c r="M234" s="16">
        <v>235447.36</v>
      </c>
      <c r="N234" s="16">
        <f t="shared" si="3"/>
        <v>235447.36000000002</v>
      </c>
    </row>
    <row r="235" spans="3:14" x14ac:dyDescent="0.35">
      <c r="C235" s="10" t="s">
        <v>260</v>
      </c>
      <c r="D235" s="10" t="s">
        <v>17</v>
      </c>
      <c r="E235" s="10" t="s">
        <v>18</v>
      </c>
      <c r="F235" s="10" t="s">
        <v>23</v>
      </c>
      <c r="G235" s="10" t="s">
        <v>14</v>
      </c>
      <c r="H235" s="10" t="s">
        <v>20</v>
      </c>
      <c r="I235" s="14">
        <v>45158</v>
      </c>
      <c r="J235" s="10">
        <v>154</v>
      </c>
      <c r="K235" s="10">
        <v>412.47</v>
      </c>
      <c r="L235" s="10">
        <v>66.02</v>
      </c>
      <c r="M235" s="16">
        <v>63520.38</v>
      </c>
      <c r="N235" s="16">
        <f t="shared" si="3"/>
        <v>63520.380000000005</v>
      </c>
    </row>
    <row r="236" spans="3:14" x14ac:dyDescent="0.35">
      <c r="C236" s="10" t="s">
        <v>261</v>
      </c>
      <c r="D236" s="10" t="s">
        <v>17</v>
      </c>
      <c r="E236" s="10" t="s">
        <v>26</v>
      </c>
      <c r="F236" s="10" t="s">
        <v>23</v>
      </c>
      <c r="G236" s="10" t="s">
        <v>24</v>
      </c>
      <c r="H236" s="10" t="s">
        <v>28</v>
      </c>
      <c r="I236" s="14">
        <v>45159</v>
      </c>
      <c r="J236" s="10">
        <v>102</v>
      </c>
      <c r="K236" s="10">
        <v>263.63</v>
      </c>
      <c r="L236" s="10">
        <v>224.1</v>
      </c>
      <c r="M236" s="16">
        <v>26890.26</v>
      </c>
      <c r="N236" s="16">
        <f t="shared" si="3"/>
        <v>26890.26</v>
      </c>
    </row>
    <row r="237" spans="3:14" x14ac:dyDescent="0.35">
      <c r="C237" s="10" t="s">
        <v>262</v>
      </c>
      <c r="D237" s="10" t="s">
        <v>17</v>
      </c>
      <c r="E237" s="10" t="s">
        <v>31</v>
      </c>
      <c r="F237" s="10" t="s">
        <v>23</v>
      </c>
      <c r="G237" s="10" t="s">
        <v>14</v>
      </c>
      <c r="H237" s="10" t="s">
        <v>28</v>
      </c>
      <c r="I237" s="14">
        <v>45160</v>
      </c>
      <c r="J237" s="10">
        <v>318</v>
      </c>
      <c r="K237" s="10">
        <v>66</v>
      </c>
      <c r="L237" s="10">
        <v>325.08</v>
      </c>
      <c r="M237" s="16">
        <v>20988</v>
      </c>
      <c r="N237" s="16">
        <f t="shared" si="3"/>
        <v>20988</v>
      </c>
    </row>
    <row r="238" spans="3:14" x14ac:dyDescent="0.35">
      <c r="C238" s="10" t="s">
        <v>263</v>
      </c>
      <c r="D238" s="10" t="s">
        <v>17</v>
      </c>
      <c r="E238" s="10" t="s">
        <v>12</v>
      </c>
      <c r="F238" s="10" t="s">
        <v>23</v>
      </c>
      <c r="G238" s="10" t="s">
        <v>14</v>
      </c>
      <c r="H238" s="10" t="s">
        <v>28</v>
      </c>
      <c r="I238" s="14">
        <v>45161</v>
      </c>
      <c r="J238" s="10">
        <v>17</v>
      </c>
      <c r="K238" s="10">
        <v>430.41</v>
      </c>
      <c r="L238" s="10">
        <v>297.2</v>
      </c>
      <c r="M238" s="16">
        <v>7316.97</v>
      </c>
      <c r="N238" s="16">
        <f t="shared" si="3"/>
        <v>7316.97</v>
      </c>
    </row>
    <row r="239" spans="3:14" x14ac:dyDescent="0.35">
      <c r="C239" s="10" t="s">
        <v>264</v>
      </c>
      <c r="D239" s="10" t="s">
        <v>17</v>
      </c>
      <c r="E239" s="10" t="s">
        <v>50</v>
      </c>
      <c r="F239" s="10" t="s">
        <v>19</v>
      </c>
      <c r="G239" s="10" t="s">
        <v>24</v>
      </c>
      <c r="H239" s="10" t="s">
        <v>20</v>
      </c>
      <c r="I239" s="14">
        <v>45162</v>
      </c>
      <c r="J239" s="10">
        <v>88</v>
      </c>
      <c r="K239" s="10">
        <v>400.89</v>
      </c>
      <c r="L239" s="10">
        <v>352.82</v>
      </c>
      <c r="M239" s="16">
        <v>35278.32</v>
      </c>
      <c r="N239" s="16">
        <f t="shared" si="3"/>
        <v>35278.32</v>
      </c>
    </row>
    <row r="240" spans="3:14" x14ac:dyDescent="0.35">
      <c r="C240" s="10" t="s">
        <v>265</v>
      </c>
      <c r="D240" s="10" t="s">
        <v>48</v>
      </c>
      <c r="E240" s="10" t="s">
        <v>50</v>
      </c>
      <c r="F240" s="10" t="s">
        <v>13</v>
      </c>
      <c r="G240" s="10" t="s">
        <v>24</v>
      </c>
      <c r="H240" s="10" t="s">
        <v>20</v>
      </c>
      <c r="I240" s="14">
        <v>45163</v>
      </c>
      <c r="J240" s="10">
        <v>36</v>
      </c>
      <c r="K240" s="10">
        <v>96.37</v>
      </c>
      <c r="L240" s="10">
        <v>112.61</v>
      </c>
      <c r="M240" s="16">
        <v>3469.32</v>
      </c>
      <c r="N240" s="16">
        <f t="shared" si="3"/>
        <v>3469.32</v>
      </c>
    </row>
    <row r="241" spans="3:14" x14ac:dyDescent="0.35">
      <c r="C241" s="10" t="s">
        <v>266</v>
      </c>
      <c r="D241" s="10" t="s">
        <v>48</v>
      </c>
      <c r="E241" s="10" t="s">
        <v>12</v>
      </c>
      <c r="F241" s="10" t="s">
        <v>27</v>
      </c>
      <c r="G241" s="10" t="s">
        <v>24</v>
      </c>
      <c r="H241" s="10" t="s">
        <v>15</v>
      </c>
      <c r="I241" s="14">
        <v>45164</v>
      </c>
      <c r="J241" s="10">
        <v>183</v>
      </c>
      <c r="K241" s="10">
        <v>151.16</v>
      </c>
      <c r="L241" s="10">
        <v>79.19</v>
      </c>
      <c r="M241" s="16">
        <v>27662.28</v>
      </c>
      <c r="N241" s="16">
        <f t="shared" si="3"/>
        <v>27662.28</v>
      </c>
    </row>
    <row r="242" spans="3:14" x14ac:dyDescent="0.35">
      <c r="C242" s="10" t="s">
        <v>267</v>
      </c>
      <c r="D242" s="10" t="s">
        <v>11</v>
      </c>
      <c r="E242" s="10" t="s">
        <v>26</v>
      </c>
      <c r="F242" s="10" t="s">
        <v>27</v>
      </c>
      <c r="G242" s="10" t="s">
        <v>24</v>
      </c>
      <c r="H242" s="10" t="s">
        <v>15</v>
      </c>
      <c r="I242" s="14">
        <v>45165</v>
      </c>
      <c r="J242" s="10">
        <v>59</v>
      </c>
      <c r="K242" s="10">
        <v>397.74</v>
      </c>
      <c r="L242" s="10">
        <v>352.17</v>
      </c>
      <c r="M242" s="16">
        <v>23466.66</v>
      </c>
      <c r="N242" s="16">
        <f t="shared" si="3"/>
        <v>23466.66</v>
      </c>
    </row>
    <row r="243" spans="3:14" x14ac:dyDescent="0.35">
      <c r="C243" s="10" t="s">
        <v>268</v>
      </c>
      <c r="D243" s="10" t="s">
        <v>17</v>
      </c>
      <c r="E243" s="10" t="s">
        <v>50</v>
      </c>
      <c r="F243" s="10" t="s">
        <v>23</v>
      </c>
      <c r="G243" s="10" t="s">
        <v>14</v>
      </c>
      <c r="H243" s="10" t="s">
        <v>28</v>
      </c>
      <c r="I243" s="14">
        <v>45166</v>
      </c>
      <c r="J243" s="10">
        <v>208</v>
      </c>
      <c r="K243" s="10">
        <v>96.69</v>
      </c>
      <c r="L243" s="10">
        <v>263.70999999999998</v>
      </c>
      <c r="M243" s="16">
        <v>20111.52</v>
      </c>
      <c r="N243" s="16">
        <f t="shared" si="3"/>
        <v>20111.52</v>
      </c>
    </row>
    <row r="244" spans="3:14" x14ac:dyDescent="0.35">
      <c r="C244" s="10" t="s">
        <v>269</v>
      </c>
      <c r="D244" s="10" t="s">
        <v>48</v>
      </c>
      <c r="E244" s="10" t="s">
        <v>31</v>
      </c>
      <c r="F244" s="10" t="s">
        <v>23</v>
      </c>
      <c r="G244" s="10" t="s">
        <v>14</v>
      </c>
      <c r="H244" s="10" t="s">
        <v>20</v>
      </c>
      <c r="I244" s="14">
        <v>45167</v>
      </c>
      <c r="J244" s="10">
        <v>396</v>
      </c>
      <c r="K244" s="10">
        <v>459.29</v>
      </c>
      <c r="L244" s="10">
        <v>125.75</v>
      </c>
      <c r="M244" s="16">
        <v>181878.84</v>
      </c>
      <c r="N244" s="16">
        <f t="shared" si="3"/>
        <v>181878.84</v>
      </c>
    </row>
    <row r="245" spans="3:14" x14ac:dyDescent="0.35">
      <c r="C245" s="10" t="s">
        <v>270</v>
      </c>
      <c r="D245" s="10" t="s">
        <v>11</v>
      </c>
      <c r="E245" s="10" t="s">
        <v>26</v>
      </c>
      <c r="F245" s="10" t="s">
        <v>42</v>
      </c>
      <c r="G245" s="10" t="s">
        <v>24</v>
      </c>
      <c r="H245" s="10" t="s">
        <v>20</v>
      </c>
      <c r="I245" s="14">
        <v>45168</v>
      </c>
      <c r="J245" s="10">
        <v>358</v>
      </c>
      <c r="K245" s="10">
        <v>215.14</v>
      </c>
      <c r="L245" s="10">
        <v>297.45</v>
      </c>
      <c r="M245" s="16">
        <v>77020.12</v>
      </c>
      <c r="N245" s="16">
        <f t="shared" si="3"/>
        <v>77020.12</v>
      </c>
    </row>
    <row r="246" spans="3:14" x14ac:dyDescent="0.35">
      <c r="C246" s="10" t="s">
        <v>271</v>
      </c>
      <c r="D246" s="10" t="s">
        <v>17</v>
      </c>
      <c r="E246" s="10" t="s">
        <v>31</v>
      </c>
      <c r="F246" s="10" t="s">
        <v>13</v>
      </c>
      <c r="G246" s="10" t="s">
        <v>14</v>
      </c>
      <c r="H246" s="10" t="s">
        <v>20</v>
      </c>
      <c r="I246" s="14">
        <v>45169</v>
      </c>
      <c r="J246" s="10">
        <v>457</v>
      </c>
      <c r="K246" s="10">
        <v>48.08</v>
      </c>
      <c r="L246" s="10">
        <v>326.42</v>
      </c>
      <c r="M246" s="16">
        <v>21972.560000000001</v>
      </c>
      <c r="N246" s="16">
        <f t="shared" si="3"/>
        <v>21972.559999999998</v>
      </c>
    </row>
    <row r="247" spans="3:14" x14ac:dyDescent="0.35">
      <c r="C247" s="10" t="s">
        <v>272</v>
      </c>
      <c r="D247" s="10" t="s">
        <v>22</v>
      </c>
      <c r="E247" s="10" t="s">
        <v>18</v>
      </c>
      <c r="F247" s="10" t="s">
        <v>19</v>
      </c>
      <c r="G247" s="10" t="s">
        <v>14</v>
      </c>
      <c r="H247" s="10" t="s">
        <v>28</v>
      </c>
      <c r="I247" s="14">
        <v>45170</v>
      </c>
      <c r="J247" s="10">
        <v>437</v>
      </c>
      <c r="K247" s="10">
        <v>408.8</v>
      </c>
      <c r="L247" s="10">
        <v>246.76</v>
      </c>
      <c r="M247" s="16">
        <v>178645.6</v>
      </c>
      <c r="N247" s="16">
        <f t="shared" si="3"/>
        <v>178645.6</v>
      </c>
    </row>
    <row r="248" spans="3:14" x14ac:dyDescent="0.35">
      <c r="C248" s="10" t="s">
        <v>273</v>
      </c>
      <c r="D248" s="10" t="s">
        <v>11</v>
      </c>
      <c r="E248" s="10" t="s">
        <v>26</v>
      </c>
      <c r="F248" s="10" t="s">
        <v>27</v>
      </c>
      <c r="G248" s="10" t="s">
        <v>14</v>
      </c>
      <c r="H248" s="10" t="s">
        <v>15</v>
      </c>
      <c r="I248" s="14">
        <v>45171</v>
      </c>
      <c r="J248" s="10">
        <v>190</v>
      </c>
      <c r="K248" s="10">
        <v>189.89</v>
      </c>
      <c r="L248" s="10">
        <v>275.77999999999997</v>
      </c>
      <c r="M248" s="16">
        <v>36079.1</v>
      </c>
      <c r="N248" s="16">
        <f t="shared" si="3"/>
        <v>36079.1</v>
      </c>
    </row>
    <row r="249" spans="3:14" x14ac:dyDescent="0.35">
      <c r="C249" s="10" t="s">
        <v>274</v>
      </c>
      <c r="D249" s="10" t="s">
        <v>48</v>
      </c>
      <c r="E249" s="10" t="s">
        <v>50</v>
      </c>
      <c r="F249" s="10" t="s">
        <v>42</v>
      </c>
      <c r="G249" s="10" t="s">
        <v>24</v>
      </c>
      <c r="H249" s="10" t="s">
        <v>28</v>
      </c>
      <c r="I249" s="14">
        <v>45172</v>
      </c>
      <c r="J249" s="10">
        <v>33</v>
      </c>
      <c r="K249" s="10">
        <v>265.62</v>
      </c>
      <c r="L249" s="10">
        <v>151.35</v>
      </c>
      <c r="M249" s="16">
        <v>8765.4600000000009</v>
      </c>
      <c r="N249" s="16">
        <f t="shared" si="3"/>
        <v>8765.4600000000009</v>
      </c>
    </row>
    <row r="250" spans="3:14" x14ac:dyDescent="0.35">
      <c r="C250" s="10" t="s">
        <v>275</v>
      </c>
      <c r="D250" s="10" t="s">
        <v>22</v>
      </c>
      <c r="E250" s="10" t="s">
        <v>26</v>
      </c>
      <c r="F250" s="10" t="s">
        <v>42</v>
      </c>
      <c r="G250" s="10" t="s">
        <v>14</v>
      </c>
      <c r="H250" s="10" t="s">
        <v>15</v>
      </c>
      <c r="I250" s="14">
        <v>45173</v>
      </c>
      <c r="J250" s="10">
        <v>325</v>
      </c>
      <c r="K250" s="10">
        <v>60.59</v>
      </c>
      <c r="L250" s="10">
        <v>216.4</v>
      </c>
      <c r="M250" s="16">
        <v>19691.75</v>
      </c>
      <c r="N250" s="16">
        <f t="shared" si="3"/>
        <v>19691.75</v>
      </c>
    </row>
    <row r="251" spans="3:14" x14ac:dyDescent="0.35">
      <c r="C251" s="10" t="s">
        <v>276</v>
      </c>
      <c r="D251" s="10" t="s">
        <v>22</v>
      </c>
      <c r="E251" s="10" t="s">
        <v>26</v>
      </c>
      <c r="F251" s="10" t="s">
        <v>27</v>
      </c>
      <c r="G251" s="10" t="s">
        <v>24</v>
      </c>
      <c r="H251" s="10" t="s">
        <v>15</v>
      </c>
      <c r="I251" s="14">
        <v>45174</v>
      </c>
      <c r="J251" s="10">
        <v>387</v>
      </c>
      <c r="K251" s="10">
        <v>6.28</v>
      </c>
      <c r="L251" s="10">
        <v>210.62</v>
      </c>
      <c r="M251" s="16">
        <v>2430.36</v>
      </c>
      <c r="N251" s="16">
        <f t="shared" si="3"/>
        <v>2430.36</v>
      </c>
    </row>
    <row r="252" spans="3:14" x14ac:dyDescent="0.35">
      <c r="C252" s="10" t="s">
        <v>277</v>
      </c>
      <c r="D252" s="10" t="s">
        <v>22</v>
      </c>
      <c r="E252" s="10" t="s">
        <v>26</v>
      </c>
      <c r="F252" s="10" t="s">
        <v>19</v>
      </c>
      <c r="G252" s="10" t="s">
        <v>14</v>
      </c>
      <c r="H252" s="10" t="s">
        <v>28</v>
      </c>
      <c r="I252" s="14">
        <v>45175</v>
      </c>
      <c r="J252" s="10">
        <v>396</v>
      </c>
      <c r="K252" s="10">
        <v>320.8</v>
      </c>
      <c r="L252" s="10">
        <v>339.52</v>
      </c>
      <c r="M252" s="16">
        <v>127036.8</v>
      </c>
      <c r="N252" s="16">
        <f t="shared" si="3"/>
        <v>127036.8</v>
      </c>
    </row>
    <row r="253" spans="3:14" x14ac:dyDescent="0.35">
      <c r="C253" s="10" t="s">
        <v>278</v>
      </c>
      <c r="D253" s="10" t="s">
        <v>11</v>
      </c>
      <c r="E253" s="10" t="s">
        <v>26</v>
      </c>
      <c r="F253" s="10" t="s">
        <v>42</v>
      </c>
      <c r="G253" s="10" t="s">
        <v>14</v>
      </c>
      <c r="H253" s="10" t="s">
        <v>15</v>
      </c>
      <c r="I253" s="14">
        <v>45176</v>
      </c>
      <c r="J253" s="10">
        <v>413</v>
      </c>
      <c r="K253" s="10">
        <v>260.01</v>
      </c>
      <c r="L253" s="10">
        <v>336.31</v>
      </c>
      <c r="M253" s="16">
        <v>107384.13</v>
      </c>
      <c r="N253" s="16">
        <f t="shared" si="3"/>
        <v>107384.12999999999</v>
      </c>
    </row>
    <row r="254" spans="3:14" x14ac:dyDescent="0.35">
      <c r="C254" s="10" t="s">
        <v>279</v>
      </c>
      <c r="D254" s="10" t="s">
        <v>48</v>
      </c>
      <c r="E254" s="10" t="s">
        <v>31</v>
      </c>
      <c r="F254" s="10" t="s">
        <v>42</v>
      </c>
      <c r="G254" s="10" t="s">
        <v>14</v>
      </c>
      <c r="H254" s="10" t="s">
        <v>15</v>
      </c>
      <c r="I254" s="14">
        <v>45177</v>
      </c>
      <c r="J254" s="10">
        <v>218.5</v>
      </c>
      <c r="K254" s="10">
        <v>298.8</v>
      </c>
      <c r="L254" s="10">
        <v>333.41</v>
      </c>
      <c r="M254" s="16">
        <v>65287.8</v>
      </c>
      <c r="N254" s="16">
        <f t="shared" si="3"/>
        <v>65287.8</v>
      </c>
    </row>
    <row r="255" spans="3:14" x14ac:dyDescent="0.35">
      <c r="C255" s="10" t="s">
        <v>280</v>
      </c>
      <c r="D255" s="10" t="s">
        <v>22</v>
      </c>
      <c r="E255" s="10" t="s">
        <v>18</v>
      </c>
      <c r="F255" s="10" t="s">
        <v>13</v>
      </c>
      <c r="G255" s="10" t="s">
        <v>24</v>
      </c>
      <c r="H255" s="10" t="s">
        <v>20</v>
      </c>
      <c r="I255" s="14">
        <v>45178</v>
      </c>
      <c r="J255" s="10">
        <v>24</v>
      </c>
      <c r="K255" s="10">
        <v>397.9</v>
      </c>
      <c r="L255" s="10">
        <v>6.39</v>
      </c>
      <c r="M255" s="16">
        <v>9549.5999999999985</v>
      </c>
      <c r="N255" s="16">
        <f t="shared" si="3"/>
        <v>9549.5999999999985</v>
      </c>
    </row>
    <row r="256" spans="3:14" x14ac:dyDescent="0.35">
      <c r="C256" s="10" t="s">
        <v>281</v>
      </c>
      <c r="D256" s="10" t="s">
        <v>17</v>
      </c>
      <c r="E256" s="10" t="s">
        <v>12</v>
      </c>
      <c r="F256" s="10"/>
      <c r="G256" s="10" t="s">
        <v>14</v>
      </c>
      <c r="H256" s="10" t="s">
        <v>15</v>
      </c>
      <c r="I256" s="14">
        <v>45179</v>
      </c>
      <c r="J256" s="10">
        <v>162</v>
      </c>
      <c r="K256" s="10">
        <v>325.07</v>
      </c>
      <c r="L256" s="10">
        <v>300.32</v>
      </c>
      <c r="M256" s="16">
        <v>52661.34</v>
      </c>
      <c r="N256" s="16">
        <f t="shared" si="3"/>
        <v>52661.34</v>
      </c>
    </row>
    <row r="257" spans="3:14" x14ac:dyDescent="0.35">
      <c r="C257" s="10" t="s">
        <v>282</v>
      </c>
      <c r="D257" s="10" t="s">
        <v>22</v>
      </c>
      <c r="E257" s="10" t="s">
        <v>26</v>
      </c>
      <c r="F257" s="10" t="s">
        <v>42</v>
      </c>
      <c r="G257" s="10" t="s">
        <v>24</v>
      </c>
      <c r="H257" s="10" t="s">
        <v>28</v>
      </c>
      <c r="I257" s="14">
        <v>45180</v>
      </c>
      <c r="J257" s="10">
        <v>231</v>
      </c>
      <c r="K257" s="10">
        <v>91.51</v>
      </c>
      <c r="L257" s="10">
        <v>303.95</v>
      </c>
      <c r="M257" s="16">
        <v>21138.81</v>
      </c>
      <c r="N257" s="16">
        <f t="shared" si="3"/>
        <v>21138.81</v>
      </c>
    </row>
    <row r="258" spans="3:14" x14ac:dyDescent="0.35">
      <c r="C258" s="10" t="s">
        <v>283</v>
      </c>
      <c r="D258" s="10" t="s">
        <v>22</v>
      </c>
      <c r="E258" s="10" t="s">
        <v>50</v>
      </c>
      <c r="F258" s="10" t="s">
        <v>19</v>
      </c>
      <c r="G258" s="10" t="s">
        <v>24</v>
      </c>
      <c r="H258" s="10" t="s">
        <v>28</v>
      </c>
      <c r="I258" s="14">
        <v>45181</v>
      </c>
      <c r="J258" s="10">
        <v>215</v>
      </c>
      <c r="K258" s="10">
        <v>183.58</v>
      </c>
      <c r="L258" s="10">
        <v>271.99</v>
      </c>
      <c r="M258" s="16">
        <v>39469.699999999997</v>
      </c>
      <c r="N258" s="16">
        <f t="shared" si="3"/>
        <v>39469.700000000004</v>
      </c>
    </row>
    <row r="259" spans="3:14" x14ac:dyDescent="0.35">
      <c r="C259" s="10" t="s">
        <v>284</v>
      </c>
      <c r="D259" s="10" t="s">
        <v>11</v>
      </c>
      <c r="E259" s="10" t="s">
        <v>26</v>
      </c>
      <c r="F259" s="10" t="s">
        <v>27</v>
      </c>
      <c r="G259" s="10" t="s">
        <v>24</v>
      </c>
      <c r="H259" s="10" t="s">
        <v>15</v>
      </c>
      <c r="I259" s="14">
        <v>45182</v>
      </c>
      <c r="J259" s="10">
        <v>464</v>
      </c>
      <c r="K259" s="10">
        <v>453.42</v>
      </c>
      <c r="L259" s="10">
        <v>302.99</v>
      </c>
      <c r="M259" s="16">
        <v>210386.88</v>
      </c>
      <c r="N259" s="16">
        <f t="shared" si="3"/>
        <v>210386.88</v>
      </c>
    </row>
    <row r="260" spans="3:14" x14ac:dyDescent="0.35">
      <c r="C260" s="10" t="s">
        <v>285</v>
      </c>
      <c r="D260" s="10" t="s">
        <v>11</v>
      </c>
      <c r="E260" s="10" t="s">
        <v>50</v>
      </c>
      <c r="F260" s="10" t="s">
        <v>23</v>
      </c>
      <c r="G260" s="10" t="s">
        <v>14</v>
      </c>
      <c r="H260" s="10" t="s">
        <v>20</v>
      </c>
      <c r="I260" s="14">
        <v>45183</v>
      </c>
      <c r="J260" s="10">
        <v>282</v>
      </c>
      <c r="K260" s="10">
        <v>366.98</v>
      </c>
      <c r="L260" s="10">
        <v>337.1</v>
      </c>
      <c r="M260" s="16">
        <v>103488.36</v>
      </c>
      <c r="N260" s="16">
        <f t="shared" si="3"/>
        <v>103488.36</v>
      </c>
    </row>
    <row r="261" spans="3:14" x14ac:dyDescent="0.35">
      <c r="C261" s="10" t="s">
        <v>286</v>
      </c>
      <c r="D261" s="10" t="s">
        <v>48</v>
      </c>
      <c r="E261" s="10" t="s">
        <v>31</v>
      </c>
      <c r="F261" s="10" t="s">
        <v>42</v>
      </c>
      <c r="G261" s="10" t="s">
        <v>14</v>
      </c>
      <c r="H261" s="10" t="s">
        <v>20</v>
      </c>
      <c r="I261" s="14">
        <v>45184</v>
      </c>
      <c r="J261" s="10">
        <v>391</v>
      </c>
      <c r="K261" s="10">
        <v>280.54000000000002</v>
      </c>
      <c r="L261" s="10">
        <v>189.19</v>
      </c>
      <c r="M261" s="16">
        <v>109691.14</v>
      </c>
      <c r="N261" s="16">
        <f t="shared" ref="N261:N324" si="4">J261*K261</f>
        <v>109691.14000000001</v>
      </c>
    </row>
    <row r="262" spans="3:14" x14ac:dyDescent="0.35">
      <c r="C262" s="10" t="s">
        <v>287</v>
      </c>
      <c r="D262" s="10" t="s">
        <v>17</v>
      </c>
      <c r="E262" s="10" t="s">
        <v>50</v>
      </c>
      <c r="F262" s="10" t="s">
        <v>13</v>
      </c>
      <c r="G262" s="10" t="s">
        <v>14</v>
      </c>
      <c r="H262" s="10" t="s">
        <v>15</v>
      </c>
      <c r="I262" s="14">
        <v>45185</v>
      </c>
      <c r="J262" s="10">
        <v>245</v>
      </c>
      <c r="K262" s="10">
        <v>131.54</v>
      </c>
      <c r="L262" s="10">
        <v>201.82</v>
      </c>
      <c r="M262" s="16">
        <v>32227.3</v>
      </c>
      <c r="N262" s="16">
        <f t="shared" si="4"/>
        <v>32227.3</v>
      </c>
    </row>
    <row r="263" spans="3:14" x14ac:dyDescent="0.35">
      <c r="C263" s="10" t="s">
        <v>288</v>
      </c>
      <c r="D263" s="10" t="s">
        <v>11</v>
      </c>
      <c r="E263" s="10" t="s">
        <v>12</v>
      </c>
      <c r="F263" s="10" t="s">
        <v>27</v>
      </c>
      <c r="G263" s="10" t="s">
        <v>14</v>
      </c>
      <c r="H263" s="10" t="s">
        <v>15</v>
      </c>
      <c r="I263" s="14">
        <v>45186</v>
      </c>
      <c r="J263" s="10">
        <v>349</v>
      </c>
      <c r="K263" s="10">
        <v>154.52000000000001</v>
      </c>
      <c r="L263" s="10">
        <v>51.64</v>
      </c>
      <c r="M263" s="16">
        <v>53927.48</v>
      </c>
      <c r="N263" s="16">
        <f t="shared" si="4"/>
        <v>53927.48</v>
      </c>
    </row>
    <row r="264" spans="3:14" x14ac:dyDescent="0.35">
      <c r="C264" s="10" t="s">
        <v>289</v>
      </c>
      <c r="D264" s="10" t="s">
        <v>22</v>
      </c>
      <c r="E264" s="10" t="s">
        <v>18</v>
      </c>
      <c r="F264" s="10" t="s">
        <v>19</v>
      </c>
      <c r="G264" s="10" t="s">
        <v>24</v>
      </c>
      <c r="H264" s="10" t="s">
        <v>28</v>
      </c>
      <c r="I264" s="14">
        <v>45187</v>
      </c>
      <c r="J264" s="10">
        <v>237</v>
      </c>
      <c r="K264" s="10">
        <v>290.42500000000001</v>
      </c>
      <c r="L264" s="10">
        <v>155.38</v>
      </c>
      <c r="M264" s="16">
        <v>68830.725000000006</v>
      </c>
      <c r="N264" s="16">
        <f t="shared" si="4"/>
        <v>68830.725000000006</v>
      </c>
    </row>
    <row r="265" spans="3:14" x14ac:dyDescent="0.35">
      <c r="C265" s="10" t="s">
        <v>290</v>
      </c>
      <c r="D265" s="10" t="s">
        <v>48</v>
      </c>
      <c r="E265" s="10" t="s">
        <v>50</v>
      </c>
      <c r="F265" s="10" t="s">
        <v>27</v>
      </c>
      <c r="G265" s="10" t="s">
        <v>24</v>
      </c>
      <c r="H265" s="10" t="s">
        <v>15</v>
      </c>
      <c r="I265" s="14">
        <v>45188</v>
      </c>
      <c r="J265" s="10">
        <v>18</v>
      </c>
      <c r="K265" s="10">
        <v>426.33</v>
      </c>
      <c r="L265" s="10">
        <v>258.06</v>
      </c>
      <c r="M265" s="16">
        <v>7673.94</v>
      </c>
      <c r="N265" s="16">
        <f t="shared" si="4"/>
        <v>7673.94</v>
      </c>
    </row>
    <row r="266" spans="3:14" x14ac:dyDescent="0.35">
      <c r="C266" s="10" t="s">
        <v>291</v>
      </c>
      <c r="D266" s="10" t="s">
        <v>22</v>
      </c>
      <c r="E266" s="10" t="s">
        <v>50</v>
      </c>
      <c r="F266" s="10" t="s">
        <v>42</v>
      </c>
      <c r="G266" s="10" t="s">
        <v>24</v>
      </c>
      <c r="H266" s="10" t="s">
        <v>20</v>
      </c>
      <c r="I266" s="14">
        <v>45189</v>
      </c>
      <c r="J266" s="10">
        <v>175</v>
      </c>
      <c r="K266" s="10">
        <v>337.36</v>
      </c>
      <c r="L266" s="10">
        <v>312.60000000000002</v>
      </c>
      <c r="M266" s="16">
        <v>59038</v>
      </c>
      <c r="N266" s="16">
        <f t="shared" si="4"/>
        <v>59038</v>
      </c>
    </row>
    <row r="267" spans="3:14" x14ac:dyDescent="0.35">
      <c r="C267" s="10" t="s">
        <v>292</v>
      </c>
      <c r="D267" s="10" t="s">
        <v>22</v>
      </c>
      <c r="E267" s="10" t="s">
        <v>18</v>
      </c>
      <c r="F267" s="10"/>
      <c r="G267" s="10" t="s">
        <v>14</v>
      </c>
      <c r="H267" s="10" t="s">
        <v>15</v>
      </c>
      <c r="I267" s="14">
        <v>45190</v>
      </c>
      <c r="J267" s="10">
        <v>441</v>
      </c>
      <c r="K267" s="10">
        <v>405.72</v>
      </c>
      <c r="L267" s="10">
        <v>88.45</v>
      </c>
      <c r="M267" s="16">
        <v>178922.52</v>
      </c>
      <c r="N267" s="16">
        <f t="shared" si="4"/>
        <v>178922.52000000002</v>
      </c>
    </row>
    <row r="268" spans="3:14" x14ac:dyDescent="0.35">
      <c r="C268" s="10" t="s">
        <v>293</v>
      </c>
      <c r="D268" s="10" t="s">
        <v>11</v>
      </c>
      <c r="E268" s="10" t="s">
        <v>12</v>
      </c>
      <c r="F268" s="10" t="s">
        <v>23</v>
      </c>
      <c r="G268" s="10" t="s">
        <v>24</v>
      </c>
      <c r="H268" s="10" t="s">
        <v>28</v>
      </c>
      <c r="I268" s="14">
        <v>45191</v>
      </c>
      <c r="J268" s="10">
        <v>453</v>
      </c>
      <c r="K268" s="10">
        <v>384.49</v>
      </c>
      <c r="L268" s="10">
        <v>56.85</v>
      </c>
      <c r="M268" s="16">
        <v>174173.97</v>
      </c>
      <c r="N268" s="16">
        <f t="shared" si="4"/>
        <v>174173.97</v>
      </c>
    </row>
    <row r="269" spans="3:14" x14ac:dyDescent="0.35">
      <c r="C269" s="10" t="s">
        <v>294</v>
      </c>
      <c r="D269" s="10" t="s">
        <v>48</v>
      </c>
      <c r="E269" s="10" t="s">
        <v>26</v>
      </c>
      <c r="F269" s="10" t="s">
        <v>27</v>
      </c>
      <c r="G269" s="10" t="s">
        <v>14</v>
      </c>
      <c r="H269" s="10" t="s">
        <v>28</v>
      </c>
      <c r="I269" s="14">
        <v>45192</v>
      </c>
      <c r="J269" s="10">
        <v>328</v>
      </c>
      <c r="K269" s="10">
        <v>79.099999999999994</v>
      </c>
      <c r="L269" s="10">
        <v>265.89</v>
      </c>
      <c r="M269" s="16">
        <v>25944.799999999999</v>
      </c>
      <c r="N269" s="16">
        <f t="shared" si="4"/>
        <v>25944.799999999999</v>
      </c>
    </row>
    <row r="270" spans="3:14" x14ac:dyDescent="0.35">
      <c r="C270" s="10" t="s">
        <v>295</v>
      </c>
      <c r="D270" s="10" t="s">
        <v>17</v>
      </c>
      <c r="E270" s="10" t="s">
        <v>50</v>
      </c>
      <c r="F270" s="10" t="s">
        <v>42</v>
      </c>
      <c r="G270" s="10" t="s">
        <v>24</v>
      </c>
      <c r="H270" s="10" t="s">
        <v>28</v>
      </c>
      <c r="I270" s="14">
        <v>45193</v>
      </c>
      <c r="J270" s="10">
        <v>223</v>
      </c>
      <c r="K270" s="10">
        <v>214.85</v>
      </c>
      <c r="L270" s="10">
        <v>2.75</v>
      </c>
      <c r="M270" s="16">
        <v>47911.55</v>
      </c>
      <c r="N270" s="16">
        <f t="shared" si="4"/>
        <v>47911.549999999996</v>
      </c>
    </row>
    <row r="271" spans="3:14" x14ac:dyDescent="0.35">
      <c r="C271" s="10" t="s">
        <v>296</v>
      </c>
      <c r="D271" s="10" t="s">
        <v>17</v>
      </c>
      <c r="E271" s="10" t="s">
        <v>18</v>
      </c>
      <c r="F271" s="10" t="s">
        <v>13</v>
      </c>
      <c r="G271" s="10" t="s">
        <v>14</v>
      </c>
      <c r="H271" s="10" t="s">
        <v>28</v>
      </c>
      <c r="I271" s="14">
        <v>45194</v>
      </c>
      <c r="J271" s="10">
        <v>126</v>
      </c>
      <c r="K271" s="10">
        <v>80.73</v>
      </c>
      <c r="L271" s="10">
        <v>72.989999999999995</v>
      </c>
      <c r="M271" s="16">
        <v>10171.98</v>
      </c>
      <c r="N271" s="16">
        <f t="shared" si="4"/>
        <v>10171.980000000001</v>
      </c>
    </row>
    <row r="272" spans="3:14" x14ac:dyDescent="0.35">
      <c r="C272" s="10" t="s">
        <v>297</v>
      </c>
      <c r="D272" s="10" t="s">
        <v>11</v>
      </c>
      <c r="E272" s="10" t="s">
        <v>31</v>
      </c>
      <c r="F272" s="10" t="s">
        <v>19</v>
      </c>
      <c r="G272" s="10" t="s">
        <v>14</v>
      </c>
      <c r="H272" s="10" t="s">
        <v>28</v>
      </c>
      <c r="I272" s="14">
        <v>45195</v>
      </c>
      <c r="J272" s="10">
        <v>395</v>
      </c>
      <c r="K272" s="10">
        <v>121.44</v>
      </c>
      <c r="L272" s="10">
        <v>13.57</v>
      </c>
      <c r="M272" s="16">
        <v>47968.800000000003</v>
      </c>
      <c r="N272" s="16">
        <f t="shared" si="4"/>
        <v>47968.799999999996</v>
      </c>
    </row>
    <row r="273" spans="3:14" x14ac:dyDescent="0.35">
      <c r="C273" s="10" t="s">
        <v>298</v>
      </c>
      <c r="D273" s="10" t="s">
        <v>11</v>
      </c>
      <c r="E273" s="10" t="s">
        <v>18</v>
      </c>
      <c r="F273" s="10" t="s">
        <v>27</v>
      </c>
      <c r="G273" s="10" t="s">
        <v>24</v>
      </c>
      <c r="H273" s="10" t="s">
        <v>15</v>
      </c>
      <c r="I273" s="14">
        <v>45196</v>
      </c>
      <c r="J273" s="10">
        <v>353</v>
      </c>
      <c r="K273" s="10">
        <v>435.28</v>
      </c>
      <c r="L273" s="10">
        <v>68.42</v>
      </c>
      <c r="M273" s="16">
        <v>153653.84</v>
      </c>
      <c r="N273" s="16">
        <f t="shared" si="4"/>
        <v>153653.84</v>
      </c>
    </row>
    <row r="274" spans="3:14" x14ac:dyDescent="0.35">
      <c r="C274" s="10" t="s">
        <v>299</v>
      </c>
      <c r="D274" s="10" t="s">
        <v>48</v>
      </c>
      <c r="E274" s="10" t="s">
        <v>31</v>
      </c>
      <c r="F274" s="10" t="s">
        <v>27</v>
      </c>
      <c r="G274" s="10" t="s">
        <v>24</v>
      </c>
      <c r="H274" s="10" t="s">
        <v>15</v>
      </c>
      <c r="I274" s="14">
        <v>45197</v>
      </c>
      <c r="J274" s="10">
        <v>81</v>
      </c>
      <c r="K274" s="10">
        <v>239.08</v>
      </c>
      <c r="L274" s="10">
        <v>74.17</v>
      </c>
      <c r="M274" s="16">
        <v>19365.48</v>
      </c>
      <c r="N274" s="16">
        <f t="shared" si="4"/>
        <v>19365.48</v>
      </c>
    </row>
    <row r="275" spans="3:14" x14ac:dyDescent="0.35">
      <c r="C275" s="10" t="s">
        <v>300</v>
      </c>
      <c r="D275" s="10" t="s">
        <v>17</v>
      </c>
      <c r="E275" s="10" t="s">
        <v>12</v>
      </c>
      <c r="F275" s="10" t="s">
        <v>23</v>
      </c>
      <c r="G275" s="10" t="s">
        <v>24</v>
      </c>
      <c r="H275" s="10" t="s">
        <v>15</v>
      </c>
      <c r="I275" s="14">
        <v>45198</v>
      </c>
      <c r="J275" s="10">
        <v>404</v>
      </c>
      <c r="K275" s="10">
        <v>270</v>
      </c>
      <c r="L275" s="10">
        <v>156.29</v>
      </c>
      <c r="M275" s="16">
        <v>109080</v>
      </c>
      <c r="N275" s="16">
        <f t="shared" si="4"/>
        <v>109080</v>
      </c>
    </row>
    <row r="276" spans="3:14" x14ac:dyDescent="0.35">
      <c r="C276" s="10" t="s">
        <v>301</v>
      </c>
      <c r="D276" s="10" t="s">
        <v>17</v>
      </c>
      <c r="E276" s="10" t="s">
        <v>26</v>
      </c>
      <c r="F276" s="10" t="s">
        <v>23</v>
      </c>
      <c r="G276" s="10" t="s">
        <v>24</v>
      </c>
      <c r="H276" s="10" t="s">
        <v>15</v>
      </c>
      <c r="I276" s="14">
        <v>45199</v>
      </c>
      <c r="J276" s="10">
        <v>73</v>
      </c>
      <c r="K276" s="10">
        <v>93.33</v>
      </c>
      <c r="L276" s="10">
        <v>162.13</v>
      </c>
      <c r="M276" s="16">
        <v>6813.09</v>
      </c>
      <c r="N276" s="16">
        <f t="shared" si="4"/>
        <v>6813.09</v>
      </c>
    </row>
    <row r="277" spans="3:14" x14ac:dyDescent="0.35">
      <c r="C277" s="10" t="s">
        <v>302</v>
      </c>
      <c r="D277" s="10" t="s">
        <v>17</v>
      </c>
      <c r="E277" s="10" t="s">
        <v>18</v>
      </c>
      <c r="F277" s="10" t="s">
        <v>13</v>
      </c>
      <c r="G277" s="10" t="s">
        <v>14</v>
      </c>
      <c r="H277" s="10" t="s">
        <v>28</v>
      </c>
      <c r="I277" s="14">
        <v>45200</v>
      </c>
      <c r="J277" s="10">
        <v>214</v>
      </c>
      <c r="K277" s="10">
        <v>159.57</v>
      </c>
      <c r="L277" s="10">
        <v>349.96</v>
      </c>
      <c r="M277" s="16">
        <v>34147.980000000003</v>
      </c>
      <c r="N277" s="16">
        <f t="shared" si="4"/>
        <v>34147.979999999996</v>
      </c>
    </row>
    <row r="278" spans="3:14" x14ac:dyDescent="0.35">
      <c r="C278" s="10" t="s">
        <v>303</v>
      </c>
      <c r="D278" s="10" t="s">
        <v>22</v>
      </c>
      <c r="E278" s="10" t="s">
        <v>50</v>
      </c>
      <c r="F278" s="10" t="s">
        <v>13</v>
      </c>
      <c r="G278" s="10" t="s">
        <v>24</v>
      </c>
      <c r="H278" s="10" t="s">
        <v>20</v>
      </c>
      <c r="I278" s="14">
        <v>45201</v>
      </c>
      <c r="J278" s="10">
        <v>218</v>
      </c>
      <c r="K278" s="10">
        <v>118.97</v>
      </c>
      <c r="L278" s="10">
        <v>205.02</v>
      </c>
      <c r="M278" s="16">
        <v>25935.46</v>
      </c>
      <c r="N278" s="16">
        <f t="shared" si="4"/>
        <v>25935.46</v>
      </c>
    </row>
    <row r="279" spans="3:14" x14ac:dyDescent="0.35">
      <c r="C279" s="10" t="s">
        <v>304</v>
      </c>
      <c r="D279" s="10" t="s">
        <v>17</v>
      </c>
      <c r="E279" s="10" t="s">
        <v>12</v>
      </c>
      <c r="F279" s="10" t="s">
        <v>42</v>
      </c>
      <c r="G279" s="10" t="s">
        <v>24</v>
      </c>
      <c r="H279" s="10" t="s">
        <v>15</v>
      </c>
      <c r="I279" s="14">
        <v>45202</v>
      </c>
      <c r="J279" s="10">
        <v>81</v>
      </c>
      <c r="K279" s="10">
        <v>107.06</v>
      </c>
      <c r="L279" s="10">
        <v>289.92</v>
      </c>
      <c r="M279" s="16">
        <v>8671.86</v>
      </c>
      <c r="N279" s="16">
        <f t="shared" si="4"/>
        <v>8671.86</v>
      </c>
    </row>
    <row r="280" spans="3:14" x14ac:dyDescent="0.35">
      <c r="C280" s="10" t="s">
        <v>305</v>
      </c>
      <c r="D280" s="10" t="s">
        <v>22</v>
      </c>
      <c r="E280" s="10" t="s">
        <v>18</v>
      </c>
      <c r="F280" s="10" t="s">
        <v>42</v>
      </c>
      <c r="G280" s="10" t="s">
        <v>24</v>
      </c>
      <c r="H280" s="10" t="s">
        <v>20</v>
      </c>
      <c r="I280" s="14">
        <v>45203</v>
      </c>
      <c r="J280" s="10">
        <v>286</v>
      </c>
      <c r="K280" s="10">
        <v>320.79000000000002</v>
      </c>
      <c r="L280" s="10">
        <v>43.45</v>
      </c>
      <c r="M280" s="16">
        <v>91745.94</v>
      </c>
      <c r="N280" s="16">
        <f t="shared" si="4"/>
        <v>91745.94</v>
      </c>
    </row>
    <row r="281" spans="3:14" x14ac:dyDescent="0.35">
      <c r="C281" s="10" t="s">
        <v>306</v>
      </c>
      <c r="D281" s="10" t="s">
        <v>48</v>
      </c>
      <c r="E281" s="10" t="s">
        <v>50</v>
      </c>
      <c r="F281" s="10" t="s">
        <v>13</v>
      </c>
      <c r="G281" s="10" t="s">
        <v>14</v>
      </c>
      <c r="H281" s="10" t="s">
        <v>15</v>
      </c>
      <c r="I281" s="14">
        <v>45204</v>
      </c>
      <c r="J281" s="10">
        <v>283</v>
      </c>
      <c r="K281" s="10">
        <v>132.16</v>
      </c>
      <c r="L281" s="10">
        <v>91.72</v>
      </c>
      <c r="M281" s="16">
        <v>37401.279999999999</v>
      </c>
      <c r="N281" s="16">
        <f t="shared" si="4"/>
        <v>37401.279999999999</v>
      </c>
    </row>
    <row r="282" spans="3:14" x14ac:dyDescent="0.35">
      <c r="C282" s="10" t="s">
        <v>307</v>
      </c>
      <c r="D282" s="10" t="s">
        <v>22</v>
      </c>
      <c r="E282" s="10" t="s">
        <v>18</v>
      </c>
      <c r="F282" s="10" t="s">
        <v>13</v>
      </c>
      <c r="G282" s="10" t="s">
        <v>14</v>
      </c>
      <c r="H282" s="10" t="s">
        <v>15</v>
      </c>
      <c r="I282" s="14">
        <v>45205</v>
      </c>
      <c r="J282" s="10">
        <v>487</v>
      </c>
      <c r="K282" s="10">
        <v>317.85000000000002</v>
      </c>
      <c r="L282" s="10">
        <v>281.77</v>
      </c>
      <c r="M282" s="16">
        <v>154792.95000000001</v>
      </c>
      <c r="N282" s="16">
        <f t="shared" si="4"/>
        <v>154792.95000000001</v>
      </c>
    </row>
    <row r="283" spans="3:14" x14ac:dyDescent="0.35">
      <c r="C283" s="10" t="s">
        <v>308</v>
      </c>
      <c r="D283" s="10" t="s">
        <v>48</v>
      </c>
      <c r="E283" s="10" t="s">
        <v>31</v>
      </c>
      <c r="F283" s="10" t="s">
        <v>19</v>
      </c>
      <c r="G283" s="10" t="s">
        <v>24</v>
      </c>
      <c r="H283" s="10" t="s">
        <v>20</v>
      </c>
      <c r="I283" s="14">
        <v>45206</v>
      </c>
      <c r="J283" s="10">
        <v>329</v>
      </c>
      <c r="K283" s="10">
        <v>33.94</v>
      </c>
      <c r="L283" s="10">
        <v>23.02</v>
      </c>
      <c r="M283" s="16">
        <v>11166.26</v>
      </c>
      <c r="N283" s="16">
        <f t="shared" si="4"/>
        <v>11166.259999999998</v>
      </c>
    </row>
    <row r="284" spans="3:14" x14ac:dyDescent="0.35">
      <c r="C284" s="10" t="s">
        <v>309</v>
      </c>
      <c r="D284" s="10" t="s">
        <v>17</v>
      </c>
      <c r="E284" s="10" t="s">
        <v>18</v>
      </c>
      <c r="F284" s="10" t="s">
        <v>23</v>
      </c>
      <c r="G284" s="10" t="s">
        <v>14</v>
      </c>
      <c r="H284" s="10" t="s">
        <v>28</v>
      </c>
      <c r="I284" s="14">
        <v>45207</v>
      </c>
      <c r="J284" s="10">
        <v>347</v>
      </c>
      <c r="K284" s="10">
        <v>75.180000000000007</v>
      </c>
      <c r="L284" s="10">
        <v>195.67</v>
      </c>
      <c r="M284" s="16">
        <v>26087.46</v>
      </c>
      <c r="N284" s="16">
        <f t="shared" si="4"/>
        <v>26087.460000000003</v>
      </c>
    </row>
    <row r="285" spans="3:14" x14ac:dyDescent="0.35">
      <c r="C285" s="10" t="s">
        <v>310</v>
      </c>
      <c r="D285" s="10" t="s">
        <v>17</v>
      </c>
      <c r="E285" s="10" t="s">
        <v>18</v>
      </c>
      <c r="F285" s="10" t="s">
        <v>42</v>
      </c>
      <c r="G285" s="10" t="s">
        <v>24</v>
      </c>
      <c r="H285" s="10" t="s">
        <v>15</v>
      </c>
      <c r="I285" s="14">
        <v>45208</v>
      </c>
      <c r="J285" s="10">
        <v>375</v>
      </c>
      <c r="K285" s="10">
        <v>140.9</v>
      </c>
      <c r="L285" s="10">
        <v>240.55</v>
      </c>
      <c r="M285" s="16">
        <v>52837.5</v>
      </c>
      <c r="N285" s="16">
        <f t="shared" si="4"/>
        <v>52837.5</v>
      </c>
    </row>
    <row r="286" spans="3:14" x14ac:dyDescent="0.35">
      <c r="C286" s="10" t="s">
        <v>311</v>
      </c>
      <c r="D286" s="10" t="s">
        <v>48</v>
      </c>
      <c r="E286" s="10" t="s">
        <v>18</v>
      </c>
      <c r="F286" s="10" t="s">
        <v>23</v>
      </c>
      <c r="G286" s="10" t="s">
        <v>14</v>
      </c>
      <c r="H286" s="10" t="s">
        <v>15</v>
      </c>
      <c r="I286" s="14">
        <v>45209</v>
      </c>
      <c r="J286" s="10">
        <v>104</v>
      </c>
      <c r="K286" s="10">
        <v>300.54000000000002</v>
      </c>
      <c r="L286" s="10">
        <v>241.65</v>
      </c>
      <c r="M286" s="16">
        <v>31256.16</v>
      </c>
      <c r="N286" s="16">
        <f t="shared" si="4"/>
        <v>31256.160000000003</v>
      </c>
    </row>
    <row r="287" spans="3:14" x14ac:dyDescent="0.35">
      <c r="C287" s="10" t="s">
        <v>312</v>
      </c>
      <c r="D287" s="10" t="s">
        <v>11</v>
      </c>
      <c r="E287" s="10" t="s">
        <v>12</v>
      </c>
      <c r="F287" s="10"/>
      <c r="G287" s="10" t="s">
        <v>14</v>
      </c>
      <c r="H287" s="10" t="s">
        <v>15</v>
      </c>
      <c r="I287" s="14">
        <v>45210</v>
      </c>
      <c r="J287" s="10">
        <v>175</v>
      </c>
      <c r="K287" s="10">
        <v>339.54</v>
      </c>
      <c r="L287" s="10">
        <v>11.13</v>
      </c>
      <c r="M287" s="16">
        <v>59419.5</v>
      </c>
      <c r="N287" s="16">
        <f t="shared" si="4"/>
        <v>59419.5</v>
      </c>
    </row>
    <row r="288" spans="3:14" x14ac:dyDescent="0.35">
      <c r="C288" s="10" t="s">
        <v>313</v>
      </c>
      <c r="D288" s="10" t="s">
        <v>48</v>
      </c>
      <c r="E288" s="10" t="s">
        <v>18</v>
      </c>
      <c r="F288" s="10" t="s">
        <v>13</v>
      </c>
      <c r="G288" s="10" t="s">
        <v>14</v>
      </c>
      <c r="H288" s="10" t="s">
        <v>20</v>
      </c>
      <c r="I288" s="14">
        <v>45211</v>
      </c>
      <c r="J288" s="10">
        <v>41</v>
      </c>
      <c r="K288" s="10">
        <v>224.14</v>
      </c>
      <c r="L288" s="10">
        <v>130.19999999999999</v>
      </c>
      <c r="M288" s="16">
        <v>9189.74</v>
      </c>
      <c r="N288" s="16">
        <f t="shared" si="4"/>
        <v>9189.74</v>
      </c>
    </row>
    <row r="289" spans="3:14" x14ac:dyDescent="0.35">
      <c r="C289" s="10" t="s">
        <v>314</v>
      </c>
      <c r="D289" s="10" t="s">
        <v>11</v>
      </c>
      <c r="E289" s="10" t="s">
        <v>50</v>
      </c>
      <c r="F289" s="10" t="s">
        <v>19</v>
      </c>
      <c r="G289" s="10" t="s">
        <v>14</v>
      </c>
      <c r="H289" s="10" t="s">
        <v>28</v>
      </c>
      <c r="I289" s="14">
        <v>45212</v>
      </c>
      <c r="J289" s="10">
        <v>20</v>
      </c>
      <c r="K289" s="10">
        <v>225.67</v>
      </c>
      <c r="L289" s="10">
        <v>255.32</v>
      </c>
      <c r="M289" s="16">
        <v>4513.3999999999996</v>
      </c>
      <c r="N289" s="16">
        <f t="shared" si="4"/>
        <v>4513.3999999999996</v>
      </c>
    </row>
    <row r="290" spans="3:14" x14ac:dyDescent="0.35">
      <c r="C290" s="10" t="s">
        <v>315</v>
      </c>
      <c r="D290" s="10" t="s">
        <v>22</v>
      </c>
      <c r="E290" s="10" t="s">
        <v>31</v>
      </c>
      <c r="F290" s="10" t="s">
        <v>27</v>
      </c>
      <c r="G290" s="10" t="s">
        <v>24</v>
      </c>
      <c r="H290" s="10" t="s">
        <v>20</v>
      </c>
      <c r="I290" s="14">
        <v>45213</v>
      </c>
      <c r="J290" s="10">
        <v>310</v>
      </c>
      <c r="K290" s="10">
        <v>363.64</v>
      </c>
      <c r="L290" s="10">
        <v>61.3</v>
      </c>
      <c r="M290" s="16">
        <v>112728.4</v>
      </c>
      <c r="N290" s="16">
        <f t="shared" si="4"/>
        <v>112728.4</v>
      </c>
    </row>
    <row r="291" spans="3:14" x14ac:dyDescent="0.35">
      <c r="C291" s="10" t="s">
        <v>316</v>
      </c>
      <c r="D291" s="10" t="s">
        <v>22</v>
      </c>
      <c r="E291" s="10" t="s">
        <v>31</v>
      </c>
      <c r="F291" s="10" t="s">
        <v>19</v>
      </c>
      <c r="G291" s="10" t="s">
        <v>24</v>
      </c>
      <c r="H291" s="10" t="s">
        <v>20</v>
      </c>
      <c r="I291" s="14">
        <v>45214</v>
      </c>
      <c r="J291" s="10">
        <v>226</v>
      </c>
      <c r="K291" s="10">
        <v>268.74</v>
      </c>
      <c r="L291" s="10">
        <v>278.77999999999997</v>
      </c>
      <c r="M291" s="16">
        <v>60735.240000000013</v>
      </c>
      <c r="N291" s="16">
        <f t="shared" si="4"/>
        <v>60735.240000000005</v>
      </c>
    </row>
    <row r="292" spans="3:14" x14ac:dyDescent="0.35">
      <c r="C292" s="10" t="s">
        <v>317</v>
      </c>
      <c r="D292" s="10" t="s">
        <v>22</v>
      </c>
      <c r="E292" s="10" t="s">
        <v>18</v>
      </c>
      <c r="F292" s="10" t="s">
        <v>19</v>
      </c>
      <c r="G292" s="10" t="s">
        <v>24</v>
      </c>
      <c r="H292" s="10" t="s">
        <v>28</v>
      </c>
      <c r="I292" s="14">
        <v>45215</v>
      </c>
      <c r="J292" s="10">
        <v>168.5</v>
      </c>
      <c r="K292" s="10">
        <v>173.84</v>
      </c>
      <c r="L292" s="10">
        <v>298.88</v>
      </c>
      <c r="M292" s="16">
        <v>29292.04</v>
      </c>
      <c r="N292" s="16">
        <f t="shared" si="4"/>
        <v>29292.04</v>
      </c>
    </row>
    <row r="293" spans="3:14" x14ac:dyDescent="0.35">
      <c r="C293" s="10" t="s">
        <v>318</v>
      </c>
      <c r="D293" s="10" t="s">
        <v>17</v>
      </c>
      <c r="E293" s="10" t="s">
        <v>12</v>
      </c>
      <c r="F293" s="10" t="s">
        <v>23</v>
      </c>
      <c r="G293" s="10" t="s">
        <v>14</v>
      </c>
      <c r="H293" s="10" t="s">
        <v>20</v>
      </c>
      <c r="I293" s="14">
        <v>45216</v>
      </c>
      <c r="J293" s="10">
        <v>111</v>
      </c>
      <c r="K293" s="10">
        <v>410.26</v>
      </c>
      <c r="L293" s="10">
        <v>392.82</v>
      </c>
      <c r="M293" s="16">
        <v>45538.86</v>
      </c>
      <c r="N293" s="16">
        <f t="shared" si="4"/>
        <v>45538.86</v>
      </c>
    </row>
    <row r="294" spans="3:14" x14ac:dyDescent="0.35">
      <c r="C294" s="10" t="s">
        <v>319</v>
      </c>
      <c r="D294" s="10" t="s">
        <v>22</v>
      </c>
      <c r="E294" s="10" t="s">
        <v>12</v>
      </c>
      <c r="F294" s="10" t="s">
        <v>19</v>
      </c>
      <c r="G294" s="10" t="s">
        <v>24</v>
      </c>
      <c r="H294" s="10" t="s">
        <v>28</v>
      </c>
      <c r="I294" s="14">
        <v>45217</v>
      </c>
      <c r="J294" s="10">
        <v>434</v>
      </c>
      <c r="K294" s="10">
        <v>303.58999999999997</v>
      </c>
      <c r="L294" s="10">
        <v>85.52</v>
      </c>
      <c r="M294" s="16">
        <v>131758.06</v>
      </c>
      <c r="N294" s="16">
        <f t="shared" si="4"/>
        <v>131758.06</v>
      </c>
    </row>
    <row r="295" spans="3:14" x14ac:dyDescent="0.35">
      <c r="C295" s="10" t="s">
        <v>320</v>
      </c>
      <c r="D295" s="10" t="s">
        <v>11</v>
      </c>
      <c r="E295" s="10" t="s">
        <v>50</v>
      </c>
      <c r="F295" s="10" t="s">
        <v>42</v>
      </c>
      <c r="G295" s="10" t="s">
        <v>24</v>
      </c>
      <c r="H295" s="10" t="s">
        <v>15</v>
      </c>
      <c r="I295" s="14">
        <v>45218</v>
      </c>
      <c r="J295" s="10">
        <v>401</v>
      </c>
      <c r="K295" s="10">
        <v>171.93</v>
      </c>
      <c r="L295" s="10">
        <v>330.4</v>
      </c>
      <c r="M295" s="16">
        <v>68943.930000000008</v>
      </c>
      <c r="N295" s="16">
        <f t="shared" si="4"/>
        <v>68943.930000000008</v>
      </c>
    </row>
    <row r="296" spans="3:14" x14ac:dyDescent="0.35">
      <c r="C296" s="10" t="s">
        <v>321</v>
      </c>
      <c r="D296" s="10" t="s">
        <v>22</v>
      </c>
      <c r="E296" s="10" t="s">
        <v>18</v>
      </c>
      <c r="F296" s="10" t="s">
        <v>23</v>
      </c>
      <c r="G296" s="10" t="s">
        <v>24</v>
      </c>
      <c r="H296" s="10" t="s">
        <v>28</v>
      </c>
      <c r="I296" s="14">
        <v>45219</v>
      </c>
      <c r="J296" s="10">
        <v>276</v>
      </c>
      <c r="K296" s="10">
        <v>453.23</v>
      </c>
      <c r="L296" s="10">
        <v>209.08</v>
      </c>
      <c r="M296" s="16">
        <v>125091.48</v>
      </c>
      <c r="N296" s="16">
        <f t="shared" si="4"/>
        <v>125091.48000000001</v>
      </c>
    </row>
    <row r="297" spans="3:14" x14ac:dyDescent="0.35">
      <c r="C297" s="10" t="s">
        <v>322</v>
      </c>
      <c r="D297" s="10" t="s">
        <v>48</v>
      </c>
      <c r="E297" s="10" t="s">
        <v>31</v>
      </c>
      <c r="F297" s="10" t="s">
        <v>42</v>
      </c>
      <c r="G297" s="10" t="s">
        <v>14</v>
      </c>
      <c r="H297" s="10" t="s">
        <v>15</v>
      </c>
      <c r="I297" s="14">
        <v>45220</v>
      </c>
      <c r="J297" s="10">
        <v>232</v>
      </c>
      <c r="K297" s="10">
        <v>387.45</v>
      </c>
      <c r="L297" s="10">
        <v>150.63999999999999</v>
      </c>
      <c r="M297" s="16">
        <v>89888.4</v>
      </c>
      <c r="N297" s="16">
        <f t="shared" si="4"/>
        <v>89888.4</v>
      </c>
    </row>
    <row r="298" spans="3:14" x14ac:dyDescent="0.35">
      <c r="C298" s="10" t="s">
        <v>323</v>
      </c>
      <c r="D298" s="10" t="s">
        <v>48</v>
      </c>
      <c r="E298" s="10" t="s">
        <v>12</v>
      </c>
      <c r="F298" s="10" t="s">
        <v>27</v>
      </c>
      <c r="G298" s="10" t="s">
        <v>14</v>
      </c>
      <c r="H298" s="10" t="s">
        <v>20</v>
      </c>
      <c r="I298" s="14">
        <v>45221</v>
      </c>
      <c r="J298" s="10">
        <v>188</v>
      </c>
      <c r="K298" s="10">
        <v>136.12</v>
      </c>
      <c r="L298" s="10">
        <v>50.71</v>
      </c>
      <c r="M298" s="16">
        <v>25590.560000000001</v>
      </c>
      <c r="N298" s="16">
        <f t="shared" si="4"/>
        <v>25590.560000000001</v>
      </c>
    </row>
    <row r="299" spans="3:14" x14ac:dyDescent="0.35">
      <c r="C299" s="10" t="s">
        <v>324</v>
      </c>
      <c r="D299" s="10" t="s">
        <v>17</v>
      </c>
      <c r="E299" s="10" t="s">
        <v>18</v>
      </c>
      <c r="F299" s="10" t="s">
        <v>23</v>
      </c>
      <c r="G299" s="10" t="s">
        <v>14</v>
      </c>
      <c r="H299" s="10" t="s">
        <v>20</v>
      </c>
      <c r="I299" s="14">
        <v>45222</v>
      </c>
      <c r="J299" s="10">
        <v>97</v>
      </c>
      <c r="K299" s="10">
        <v>324.42</v>
      </c>
      <c r="L299" s="10">
        <v>294.73</v>
      </c>
      <c r="M299" s="16">
        <v>31468.74</v>
      </c>
      <c r="N299" s="16">
        <f t="shared" si="4"/>
        <v>31468.74</v>
      </c>
    </row>
    <row r="300" spans="3:14" x14ac:dyDescent="0.35">
      <c r="C300" s="10" t="s">
        <v>325</v>
      </c>
      <c r="D300" s="10" t="s">
        <v>48</v>
      </c>
      <c r="E300" s="10" t="s">
        <v>12</v>
      </c>
      <c r="F300" s="10" t="s">
        <v>27</v>
      </c>
      <c r="G300" s="10" t="s">
        <v>24</v>
      </c>
      <c r="H300" s="10" t="s">
        <v>15</v>
      </c>
      <c r="I300" s="14">
        <v>45223</v>
      </c>
      <c r="J300" s="10">
        <v>50</v>
      </c>
      <c r="K300" s="10">
        <v>299.89999999999998</v>
      </c>
      <c r="L300" s="10">
        <v>95.87</v>
      </c>
      <c r="M300" s="16">
        <v>14995</v>
      </c>
      <c r="N300" s="16">
        <f t="shared" si="4"/>
        <v>14994.999999999998</v>
      </c>
    </row>
    <row r="301" spans="3:14" x14ac:dyDescent="0.35">
      <c r="C301" s="10" t="s">
        <v>326</v>
      </c>
      <c r="D301" s="10" t="s">
        <v>11</v>
      </c>
      <c r="E301" s="10" t="s">
        <v>12</v>
      </c>
      <c r="F301" s="10" t="s">
        <v>23</v>
      </c>
      <c r="G301" s="10" t="s">
        <v>24</v>
      </c>
      <c r="H301" s="10" t="s">
        <v>20</v>
      </c>
      <c r="I301" s="14">
        <v>45224</v>
      </c>
      <c r="J301" s="10">
        <v>410</v>
      </c>
      <c r="K301" s="10">
        <v>203.59</v>
      </c>
      <c r="L301" s="10">
        <v>149.83000000000001</v>
      </c>
      <c r="M301" s="16">
        <v>83471.899999999994</v>
      </c>
      <c r="N301" s="16">
        <f t="shared" si="4"/>
        <v>83471.899999999994</v>
      </c>
    </row>
    <row r="302" spans="3:14" x14ac:dyDescent="0.35">
      <c r="C302" s="10" t="s">
        <v>327</v>
      </c>
      <c r="D302" s="10" t="s">
        <v>22</v>
      </c>
      <c r="E302" s="10" t="s">
        <v>31</v>
      </c>
      <c r="F302" s="10" t="s">
        <v>13</v>
      </c>
      <c r="G302" s="10" t="s">
        <v>24</v>
      </c>
      <c r="H302" s="10" t="s">
        <v>28</v>
      </c>
      <c r="I302" s="14">
        <v>45225</v>
      </c>
      <c r="J302" s="10">
        <v>85</v>
      </c>
      <c r="K302" s="10">
        <v>186.64</v>
      </c>
      <c r="L302" s="10">
        <v>26.89</v>
      </c>
      <c r="M302" s="16">
        <v>15864.4</v>
      </c>
      <c r="N302" s="16">
        <f t="shared" si="4"/>
        <v>15864.4</v>
      </c>
    </row>
    <row r="303" spans="3:14" x14ac:dyDescent="0.35">
      <c r="C303" s="10" t="s">
        <v>328</v>
      </c>
      <c r="D303" s="10" t="s">
        <v>17</v>
      </c>
      <c r="E303" s="10" t="s">
        <v>26</v>
      </c>
      <c r="F303" s="10" t="s">
        <v>19</v>
      </c>
      <c r="G303" s="10" t="s">
        <v>14</v>
      </c>
      <c r="H303" s="10" t="s">
        <v>15</v>
      </c>
      <c r="I303" s="14">
        <v>45226</v>
      </c>
      <c r="J303" s="10">
        <v>386</v>
      </c>
      <c r="K303" s="10">
        <v>175.06</v>
      </c>
      <c r="L303" s="10">
        <v>320.94</v>
      </c>
      <c r="M303" s="16">
        <v>67573.16</v>
      </c>
      <c r="N303" s="16">
        <f t="shared" si="4"/>
        <v>67573.16</v>
      </c>
    </row>
    <row r="304" spans="3:14" x14ac:dyDescent="0.35">
      <c r="C304" s="10" t="s">
        <v>329</v>
      </c>
      <c r="D304" s="10" t="s">
        <v>22</v>
      </c>
      <c r="E304" s="10" t="s">
        <v>50</v>
      </c>
      <c r="F304" s="10" t="s">
        <v>13</v>
      </c>
      <c r="G304" s="10" t="s">
        <v>14</v>
      </c>
      <c r="H304" s="10" t="s">
        <v>20</v>
      </c>
      <c r="I304" s="14">
        <v>45227</v>
      </c>
      <c r="J304" s="10">
        <v>55</v>
      </c>
      <c r="K304" s="10">
        <v>310.49</v>
      </c>
      <c r="L304" s="10">
        <v>307.10000000000002</v>
      </c>
      <c r="M304" s="16">
        <v>17076.95</v>
      </c>
      <c r="N304" s="16">
        <f t="shared" si="4"/>
        <v>17076.95</v>
      </c>
    </row>
    <row r="305" spans="3:14" x14ac:dyDescent="0.35">
      <c r="C305" s="10" t="s">
        <v>330</v>
      </c>
      <c r="D305" s="10" t="s">
        <v>22</v>
      </c>
      <c r="E305" s="10" t="s">
        <v>50</v>
      </c>
      <c r="F305" s="10" t="s">
        <v>27</v>
      </c>
      <c r="G305" s="10" t="s">
        <v>24</v>
      </c>
      <c r="H305" s="10" t="s">
        <v>15</v>
      </c>
      <c r="I305" s="14">
        <v>45228</v>
      </c>
      <c r="J305" s="10">
        <v>169</v>
      </c>
      <c r="K305" s="10">
        <v>223.99</v>
      </c>
      <c r="L305" s="10">
        <v>293.98</v>
      </c>
      <c r="M305" s="16">
        <v>37854.31</v>
      </c>
      <c r="N305" s="16">
        <f t="shared" si="4"/>
        <v>37854.310000000005</v>
      </c>
    </row>
    <row r="306" spans="3:14" x14ac:dyDescent="0.35">
      <c r="C306" s="10" t="s">
        <v>331</v>
      </c>
      <c r="D306" s="10" t="s">
        <v>11</v>
      </c>
      <c r="E306" s="10" t="s">
        <v>31</v>
      </c>
      <c r="F306" s="10" t="s">
        <v>19</v>
      </c>
      <c r="G306" s="10" t="s">
        <v>14</v>
      </c>
      <c r="H306" s="10" t="s">
        <v>28</v>
      </c>
      <c r="I306" s="14">
        <v>45229</v>
      </c>
      <c r="J306" s="10">
        <v>472</v>
      </c>
      <c r="K306" s="10">
        <v>416.77</v>
      </c>
      <c r="L306" s="10">
        <v>121.18</v>
      </c>
      <c r="M306" s="16">
        <v>196715.44</v>
      </c>
      <c r="N306" s="16">
        <f t="shared" si="4"/>
        <v>196715.44</v>
      </c>
    </row>
    <row r="307" spans="3:14" x14ac:dyDescent="0.35">
      <c r="C307" s="10" t="s">
        <v>332</v>
      </c>
      <c r="D307" s="10" t="s">
        <v>48</v>
      </c>
      <c r="E307" s="10" t="s">
        <v>12</v>
      </c>
      <c r="F307" s="10" t="s">
        <v>23</v>
      </c>
      <c r="G307" s="10" t="s">
        <v>14</v>
      </c>
      <c r="H307" s="10" t="s">
        <v>28</v>
      </c>
      <c r="I307" s="14">
        <v>45230</v>
      </c>
      <c r="J307" s="10">
        <v>89</v>
      </c>
      <c r="K307" s="10">
        <v>336.45</v>
      </c>
      <c r="L307" s="10">
        <v>71.05</v>
      </c>
      <c r="M307" s="16">
        <v>29944.05</v>
      </c>
      <c r="N307" s="16">
        <f t="shared" si="4"/>
        <v>29944.05</v>
      </c>
    </row>
    <row r="308" spans="3:14" x14ac:dyDescent="0.35">
      <c r="C308" s="10" t="s">
        <v>333</v>
      </c>
      <c r="D308" s="10" t="s">
        <v>48</v>
      </c>
      <c r="E308" s="10" t="s">
        <v>18</v>
      </c>
      <c r="F308" s="10" t="s">
        <v>19</v>
      </c>
      <c r="G308" s="10" t="s">
        <v>14</v>
      </c>
      <c r="H308" s="10" t="s">
        <v>20</v>
      </c>
      <c r="I308" s="14">
        <v>45231</v>
      </c>
      <c r="J308" s="10">
        <v>319</v>
      </c>
      <c r="K308" s="10">
        <v>39.619999999999997</v>
      </c>
      <c r="L308" s="10">
        <v>255.75</v>
      </c>
      <c r="M308" s="16">
        <v>12638.78</v>
      </c>
      <c r="N308" s="16">
        <f t="shared" si="4"/>
        <v>12638.779999999999</v>
      </c>
    </row>
    <row r="309" spans="3:14" x14ac:dyDescent="0.35">
      <c r="C309" s="10" t="s">
        <v>334</v>
      </c>
      <c r="D309" s="10" t="s">
        <v>22</v>
      </c>
      <c r="E309" s="10" t="s">
        <v>12</v>
      </c>
      <c r="F309" s="10"/>
      <c r="G309" s="10" t="s">
        <v>14</v>
      </c>
      <c r="H309" s="10" t="s">
        <v>28</v>
      </c>
      <c r="I309" s="14">
        <v>45232</v>
      </c>
      <c r="J309" s="10">
        <v>95</v>
      </c>
      <c r="K309" s="10">
        <v>321.88</v>
      </c>
      <c r="L309" s="10">
        <v>199.47</v>
      </c>
      <c r="M309" s="16">
        <v>30578.6</v>
      </c>
      <c r="N309" s="16">
        <f t="shared" si="4"/>
        <v>30578.6</v>
      </c>
    </row>
    <row r="310" spans="3:14" x14ac:dyDescent="0.35">
      <c r="C310" s="10" t="s">
        <v>335</v>
      </c>
      <c r="D310" s="10" t="s">
        <v>17</v>
      </c>
      <c r="E310" s="10" t="s">
        <v>31</v>
      </c>
      <c r="F310" s="10"/>
      <c r="G310" s="10" t="s">
        <v>24</v>
      </c>
      <c r="H310" s="10" t="s">
        <v>15</v>
      </c>
      <c r="I310" s="14">
        <v>45233</v>
      </c>
      <c r="J310" s="10">
        <v>101</v>
      </c>
      <c r="K310" s="10">
        <v>139.22</v>
      </c>
      <c r="L310" s="10">
        <v>72.94</v>
      </c>
      <c r="M310" s="16">
        <v>14061.22</v>
      </c>
      <c r="N310" s="16">
        <f t="shared" si="4"/>
        <v>14061.22</v>
      </c>
    </row>
    <row r="311" spans="3:14" x14ac:dyDescent="0.35">
      <c r="C311" s="10" t="s">
        <v>336</v>
      </c>
      <c r="D311" s="10" t="s">
        <v>48</v>
      </c>
      <c r="E311" s="10" t="s">
        <v>50</v>
      </c>
      <c r="F311" s="10"/>
      <c r="G311" s="10" t="s">
        <v>14</v>
      </c>
      <c r="H311" s="10" t="s">
        <v>28</v>
      </c>
      <c r="I311" s="14">
        <v>45234</v>
      </c>
      <c r="J311" s="10">
        <v>157</v>
      </c>
      <c r="K311" s="10">
        <v>240.44499999999999</v>
      </c>
      <c r="L311" s="10">
        <v>274.99</v>
      </c>
      <c r="M311" s="16">
        <v>37749.864999999998</v>
      </c>
      <c r="N311" s="16">
        <f t="shared" si="4"/>
        <v>37749.864999999998</v>
      </c>
    </row>
    <row r="312" spans="3:14" x14ac:dyDescent="0.35">
      <c r="C312" s="10" t="s">
        <v>337</v>
      </c>
      <c r="D312" s="10" t="s">
        <v>17</v>
      </c>
      <c r="E312" s="10" t="s">
        <v>12</v>
      </c>
      <c r="F312" s="10" t="s">
        <v>19</v>
      </c>
      <c r="G312" s="10" t="s">
        <v>14</v>
      </c>
      <c r="H312" s="10" t="s">
        <v>15</v>
      </c>
      <c r="I312" s="14">
        <v>45235</v>
      </c>
      <c r="J312" s="10">
        <v>170</v>
      </c>
      <c r="K312" s="10">
        <v>341.67</v>
      </c>
      <c r="L312" s="10">
        <v>396.47</v>
      </c>
      <c r="M312" s="16">
        <v>58083.9</v>
      </c>
      <c r="N312" s="16">
        <f t="shared" si="4"/>
        <v>58083.9</v>
      </c>
    </row>
    <row r="313" spans="3:14" x14ac:dyDescent="0.35">
      <c r="C313" s="10" t="s">
        <v>338</v>
      </c>
      <c r="D313" s="10" t="s">
        <v>48</v>
      </c>
      <c r="E313" s="10" t="s">
        <v>50</v>
      </c>
      <c r="F313" s="10" t="s">
        <v>42</v>
      </c>
      <c r="G313" s="10" t="s">
        <v>14</v>
      </c>
      <c r="H313" s="10" t="s">
        <v>15</v>
      </c>
      <c r="I313" s="14">
        <v>45236</v>
      </c>
      <c r="J313" s="10">
        <v>211</v>
      </c>
      <c r="K313" s="10">
        <v>119.26</v>
      </c>
      <c r="L313" s="10">
        <v>299.39</v>
      </c>
      <c r="M313" s="16">
        <v>25163.86</v>
      </c>
      <c r="N313" s="16">
        <f t="shared" si="4"/>
        <v>25163.86</v>
      </c>
    </row>
    <row r="314" spans="3:14" x14ac:dyDescent="0.35">
      <c r="C314" s="10" t="s">
        <v>339</v>
      </c>
      <c r="D314" s="10" t="s">
        <v>17</v>
      </c>
      <c r="E314" s="10" t="s">
        <v>18</v>
      </c>
      <c r="F314" s="10" t="s">
        <v>27</v>
      </c>
      <c r="G314" s="10" t="s">
        <v>14</v>
      </c>
      <c r="H314" s="10" t="s">
        <v>28</v>
      </c>
      <c r="I314" s="14">
        <v>45237</v>
      </c>
      <c r="J314" s="10">
        <v>433</v>
      </c>
      <c r="K314" s="10">
        <v>231.15</v>
      </c>
      <c r="L314" s="10">
        <v>296.51</v>
      </c>
      <c r="M314" s="16">
        <v>100087.95</v>
      </c>
      <c r="N314" s="16">
        <f t="shared" si="4"/>
        <v>100087.95</v>
      </c>
    </row>
    <row r="315" spans="3:14" x14ac:dyDescent="0.35">
      <c r="C315" s="10" t="s">
        <v>340</v>
      </c>
      <c r="D315" s="10" t="s">
        <v>11</v>
      </c>
      <c r="E315" s="10" t="s">
        <v>50</v>
      </c>
      <c r="F315" s="10" t="s">
        <v>13</v>
      </c>
      <c r="G315" s="10" t="s">
        <v>24</v>
      </c>
      <c r="H315" s="10" t="s">
        <v>20</v>
      </c>
      <c r="I315" s="14">
        <v>45238</v>
      </c>
      <c r="J315" s="10">
        <v>425</v>
      </c>
      <c r="K315" s="10">
        <v>99.21</v>
      </c>
      <c r="L315" s="10">
        <v>380.22</v>
      </c>
      <c r="M315" s="16">
        <v>42164.25</v>
      </c>
      <c r="N315" s="16">
        <f t="shared" si="4"/>
        <v>42164.25</v>
      </c>
    </row>
    <row r="316" spans="3:14" x14ac:dyDescent="0.35">
      <c r="C316" s="10" t="s">
        <v>341</v>
      </c>
      <c r="D316" s="10" t="s">
        <v>17</v>
      </c>
      <c r="E316" s="10" t="s">
        <v>50</v>
      </c>
      <c r="F316" s="10" t="s">
        <v>23</v>
      </c>
      <c r="G316" s="10" t="s">
        <v>24</v>
      </c>
      <c r="H316" s="10" t="s">
        <v>28</v>
      </c>
      <c r="I316" s="14">
        <v>45239</v>
      </c>
      <c r="J316" s="10">
        <v>251</v>
      </c>
      <c r="K316" s="10">
        <v>30.91</v>
      </c>
      <c r="L316" s="10">
        <v>82.77</v>
      </c>
      <c r="M316" s="16">
        <v>7758.41</v>
      </c>
      <c r="N316" s="16">
        <f t="shared" si="4"/>
        <v>7758.41</v>
      </c>
    </row>
    <row r="317" spans="3:14" x14ac:dyDescent="0.35">
      <c r="C317" s="10" t="s">
        <v>342</v>
      </c>
      <c r="D317" s="10" t="s">
        <v>11</v>
      </c>
      <c r="E317" s="10" t="s">
        <v>26</v>
      </c>
      <c r="F317" s="10" t="s">
        <v>19</v>
      </c>
      <c r="G317" s="10" t="s">
        <v>14</v>
      </c>
      <c r="H317" s="10" t="s">
        <v>15</v>
      </c>
      <c r="I317" s="14">
        <v>45240</v>
      </c>
      <c r="J317" s="10">
        <v>131</v>
      </c>
      <c r="K317" s="10">
        <v>192.35</v>
      </c>
      <c r="L317" s="10">
        <v>227.09</v>
      </c>
      <c r="M317" s="16">
        <v>25197.85</v>
      </c>
      <c r="N317" s="16">
        <f t="shared" si="4"/>
        <v>25197.85</v>
      </c>
    </row>
    <row r="318" spans="3:14" x14ac:dyDescent="0.35">
      <c r="C318" s="10" t="s">
        <v>343</v>
      </c>
      <c r="D318" s="10" t="s">
        <v>11</v>
      </c>
      <c r="E318" s="10" t="s">
        <v>26</v>
      </c>
      <c r="F318" s="10" t="s">
        <v>13</v>
      </c>
      <c r="G318" s="10" t="s">
        <v>14</v>
      </c>
      <c r="H318" s="10" t="s">
        <v>15</v>
      </c>
      <c r="I318" s="14">
        <v>45241</v>
      </c>
      <c r="J318" s="10">
        <v>11</v>
      </c>
      <c r="K318" s="10">
        <v>184.66</v>
      </c>
      <c r="L318" s="10">
        <v>391.9</v>
      </c>
      <c r="M318" s="16">
        <v>2031.26</v>
      </c>
      <c r="N318" s="16">
        <f t="shared" si="4"/>
        <v>2031.26</v>
      </c>
    </row>
    <row r="319" spans="3:14" x14ac:dyDescent="0.35">
      <c r="C319" s="10" t="s">
        <v>344</v>
      </c>
      <c r="D319" s="10" t="s">
        <v>17</v>
      </c>
      <c r="E319" s="10" t="s">
        <v>26</v>
      </c>
      <c r="F319" s="10" t="s">
        <v>23</v>
      </c>
      <c r="G319" s="10" t="s">
        <v>14</v>
      </c>
      <c r="H319" s="10" t="s">
        <v>28</v>
      </c>
      <c r="I319" s="14">
        <v>45242</v>
      </c>
      <c r="J319" s="10">
        <v>234</v>
      </c>
      <c r="K319" s="10">
        <v>497.76</v>
      </c>
      <c r="L319" s="10">
        <v>67.790000000000006</v>
      </c>
      <c r="M319" s="16">
        <v>116475.84</v>
      </c>
      <c r="N319" s="16">
        <f t="shared" si="4"/>
        <v>116475.84</v>
      </c>
    </row>
    <row r="320" spans="3:14" x14ac:dyDescent="0.35">
      <c r="C320" s="10" t="s">
        <v>345</v>
      </c>
      <c r="D320" s="10" t="s">
        <v>11</v>
      </c>
      <c r="E320" s="10" t="s">
        <v>50</v>
      </c>
      <c r="F320" s="10" t="s">
        <v>23</v>
      </c>
      <c r="G320" s="10" t="s">
        <v>14</v>
      </c>
      <c r="H320" s="10" t="s">
        <v>20</v>
      </c>
      <c r="I320" s="14">
        <v>45243</v>
      </c>
      <c r="J320" s="10">
        <v>238</v>
      </c>
      <c r="K320" s="10">
        <v>225.94</v>
      </c>
      <c r="L320" s="10">
        <v>280.7</v>
      </c>
      <c r="M320" s="16">
        <v>53773.72</v>
      </c>
      <c r="N320" s="16">
        <f t="shared" si="4"/>
        <v>53773.72</v>
      </c>
    </row>
    <row r="321" spans="3:14" x14ac:dyDescent="0.35">
      <c r="C321" s="10" t="s">
        <v>346</v>
      </c>
      <c r="D321" s="10" t="s">
        <v>22</v>
      </c>
      <c r="E321" s="10" t="s">
        <v>31</v>
      </c>
      <c r="F321" s="10" t="s">
        <v>42</v>
      </c>
      <c r="G321" s="10" t="s">
        <v>14</v>
      </c>
      <c r="H321" s="10" t="s">
        <v>20</v>
      </c>
      <c r="I321" s="14">
        <v>45244</v>
      </c>
      <c r="J321" s="10">
        <v>242</v>
      </c>
      <c r="K321" s="10">
        <v>170.12</v>
      </c>
      <c r="L321" s="10">
        <v>235.15</v>
      </c>
      <c r="M321" s="16">
        <v>41169.040000000001</v>
      </c>
      <c r="N321" s="16">
        <f t="shared" si="4"/>
        <v>41169.040000000001</v>
      </c>
    </row>
    <row r="322" spans="3:14" x14ac:dyDescent="0.35">
      <c r="C322" s="10" t="s">
        <v>347</v>
      </c>
      <c r="D322" s="10" t="s">
        <v>11</v>
      </c>
      <c r="E322" s="10" t="s">
        <v>50</v>
      </c>
      <c r="F322" s="10" t="s">
        <v>27</v>
      </c>
      <c r="G322" s="10" t="s">
        <v>14</v>
      </c>
      <c r="H322" s="10" t="s">
        <v>15</v>
      </c>
      <c r="I322" s="14">
        <v>45245</v>
      </c>
      <c r="J322" s="10">
        <v>470</v>
      </c>
      <c r="K322" s="10">
        <v>292.33999999999997</v>
      </c>
      <c r="L322" s="10">
        <v>235.42</v>
      </c>
      <c r="M322" s="16">
        <v>137399.79999999999</v>
      </c>
      <c r="N322" s="16">
        <f t="shared" si="4"/>
        <v>137399.79999999999</v>
      </c>
    </row>
    <row r="323" spans="3:14" x14ac:dyDescent="0.35">
      <c r="C323" s="10" t="s">
        <v>348</v>
      </c>
      <c r="D323" s="10" t="s">
        <v>48</v>
      </c>
      <c r="E323" s="10" t="s">
        <v>31</v>
      </c>
      <c r="F323" s="10" t="s">
        <v>27</v>
      </c>
      <c r="G323" s="10" t="s">
        <v>24</v>
      </c>
      <c r="H323" s="10" t="s">
        <v>15</v>
      </c>
      <c r="I323" s="14">
        <v>45246</v>
      </c>
      <c r="J323" s="10">
        <v>423</v>
      </c>
      <c r="K323" s="10">
        <v>48.94</v>
      </c>
      <c r="L323" s="10">
        <v>279.67</v>
      </c>
      <c r="M323" s="16">
        <v>20701.62</v>
      </c>
      <c r="N323" s="16">
        <f t="shared" si="4"/>
        <v>20701.62</v>
      </c>
    </row>
    <row r="324" spans="3:14" x14ac:dyDescent="0.35">
      <c r="C324" s="10" t="s">
        <v>349</v>
      </c>
      <c r="D324" s="10" t="s">
        <v>17</v>
      </c>
      <c r="E324" s="10" t="s">
        <v>31</v>
      </c>
      <c r="F324" s="10" t="s">
        <v>13</v>
      </c>
      <c r="G324" s="10" t="s">
        <v>14</v>
      </c>
      <c r="H324" s="10" t="s">
        <v>20</v>
      </c>
      <c r="I324" s="14">
        <v>45247</v>
      </c>
      <c r="J324" s="10">
        <v>426</v>
      </c>
      <c r="K324" s="10">
        <v>481.02</v>
      </c>
      <c r="L324" s="10">
        <v>371.99</v>
      </c>
      <c r="M324" s="16">
        <v>204914.52</v>
      </c>
      <c r="N324" s="16">
        <f t="shared" si="4"/>
        <v>204914.52</v>
      </c>
    </row>
    <row r="325" spans="3:14" x14ac:dyDescent="0.35">
      <c r="C325" s="10" t="s">
        <v>350</v>
      </c>
      <c r="D325" s="10" t="s">
        <v>22</v>
      </c>
      <c r="E325" s="10" t="s">
        <v>26</v>
      </c>
      <c r="F325" s="10" t="s">
        <v>27</v>
      </c>
      <c r="G325" s="10" t="s">
        <v>24</v>
      </c>
      <c r="H325" s="10" t="s">
        <v>28</v>
      </c>
      <c r="I325" s="14">
        <v>45248</v>
      </c>
      <c r="J325" s="10">
        <v>86</v>
      </c>
      <c r="K325" s="10">
        <v>319.31</v>
      </c>
      <c r="L325" s="10">
        <v>313.47000000000003</v>
      </c>
      <c r="M325" s="16">
        <v>27460.66</v>
      </c>
      <c r="N325" s="16">
        <f t="shared" ref="N325:N353" si="5">J325*K325</f>
        <v>27460.66</v>
      </c>
    </row>
    <row r="326" spans="3:14" x14ac:dyDescent="0.35">
      <c r="C326" s="10" t="s">
        <v>351</v>
      </c>
      <c r="D326" s="10" t="s">
        <v>17</v>
      </c>
      <c r="E326" s="10" t="s">
        <v>12</v>
      </c>
      <c r="F326" s="10" t="s">
        <v>19</v>
      </c>
      <c r="G326" s="10" t="s">
        <v>24</v>
      </c>
      <c r="H326" s="10" t="s">
        <v>15</v>
      </c>
      <c r="I326" s="14">
        <v>45249</v>
      </c>
      <c r="J326" s="10">
        <v>125</v>
      </c>
      <c r="K326" s="10">
        <v>378.64</v>
      </c>
      <c r="L326" s="10">
        <v>24.34</v>
      </c>
      <c r="M326" s="16">
        <v>47330</v>
      </c>
      <c r="N326" s="16">
        <f t="shared" si="5"/>
        <v>47330</v>
      </c>
    </row>
    <row r="327" spans="3:14" x14ac:dyDescent="0.35">
      <c r="C327" s="10" t="s">
        <v>352</v>
      </c>
      <c r="D327" s="10" t="s">
        <v>48</v>
      </c>
      <c r="E327" s="10" t="s">
        <v>18</v>
      </c>
      <c r="F327" s="10"/>
      <c r="G327" s="10" t="s">
        <v>14</v>
      </c>
      <c r="H327" s="10" t="s">
        <v>15</v>
      </c>
      <c r="I327" s="14">
        <v>45250</v>
      </c>
      <c r="J327" s="10">
        <v>163</v>
      </c>
      <c r="K327" s="10">
        <v>89.39</v>
      </c>
      <c r="L327" s="10">
        <v>341.39</v>
      </c>
      <c r="M327" s="16">
        <v>14570.57</v>
      </c>
      <c r="N327" s="16">
        <f t="shared" si="5"/>
        <v>14570.57</v>
      </c>
    </row>
    <row r="328" spans="3:14" x14ac:dyDescent="0.35">
      <c r="C328" s="10" t="s">
        <v>353</v>
      </c>
      <c r="D328" s="10" t="s">
        <v>48</v>
      </c>
      <c r="E328" s="10" t="s">
        <v>26</v>
      </c>
      <c r="F328" s="10" t="s">
        <v>13</v>
      </c>
      <c r="G328" s="10" t="s">
        <v>24</v>
      </c>
      <c r="H328" s="10" t="s">
        <v>20</v>
      </c>
      <c r="I328" s="14">
        <v>45251</v>
      </c>
      <c r="J328" s="10">
        <v>415</v>
      </c>
      <c r="K328" s="10">
        <v>207.69</v>
      </c>
      <c r="L328" s="10">
        <v>91.77</v>
      </c>
      <c r="M328" s="16">
        <v>86191.35</v>
      </c>
      <c r="N328" s="16">
        <f t="shared" si="5"/>
        <v>86191.35</v>
      </c>
    </row>
    <row r="329" spans="3:14" x14ac:dyDescent="0.35">
      <c r="C329" s="10" t="s">
        <v>354</v>
      </c>
      <c r="D329" s="10" t="s">
        <v>48</v>
      </c>
      <c r="E329" s="10" t="s">
        <v>26</v>
      </c>
      <c r="F329" s="10" t="s">
        <v>27</v>
      </c>
      <c r="G329" s="10" t="s">
        <v>24</v>
      </c>
      <c r="H329" s="10" t="s">
        <v>28</v>
      </c>
      <c r="I329" s="14">
        <v>45252</v>
      </c>
      <c r="J329" s="10">
        <v>112</v>
      </c>
      <c r="K329" s="10">
        <v>214.23</v>
      </c>
      <c r="L329" s="10">
        <v>152.01</v>
      </c>
      <c r="M329" s="16">
        <v>23993.759999999998</v>
      </c>
      <c r="N329" s="16">
        <f t="shared" si="5"/>
        <v>23993.759999999998</v>
      </c>
    </row>
    <row r="330" spans="3:14" x14ac:dyDescent="0.35">
      <c r="C330" s="10" t="s">
        <v>355</v>
      </c>
      <c r="D330" s="10" t="s">
        <v>11</v>
      </c>
      <c r="E330" s="10" t="s">
        <v>12</v>
      </c>
      <c r="F330" s="10" t="s">
        <v>19</v>
      </c>
      <c r="G330" s="10" t="s">
        <v>24</v>
      </c>
      <c r="H330" s="10" t="s">
        <v>20</v>
      </c>
      <c r="I330" s="14">
        <v>45253</v>
      </c>
      <c r="J330" s="10">
        <v>203</v>
      </c>
      <c r="K330" s="10">
        <v>411.79</v>
      </c>
      <c r="L330" s="10">
        <v>185.77</v>
      </c>
      <c r="M330" s="16">
        <v>83593.37000000001</v>
      </c>
      <c r="N330" s="16">
        <f t="shared" si="5"/>
        <v>83593.37000000001</v>
      </c>
    </row>
    <row r="331" spans="3:14" x14ac:dyDescent="0.35">
      <c r="C331" s="10" t="s">
        <v>356</v>
      </c>
      <c r="D331" s="10" t="s">
        <v>11</v>
      </c>
      <c r="E331" s="10" t="s">
        <v>18</v>
      </c>
      <c r="F331" s="10" t="s">
        <v>42</v>
      </c>
      <c r="G331" s="10" t="s">
        <v>24</v>
      </c>
      <c r="H331" s="10" t="s">
        <v>28</v>
      </c>
      <c r="I331" s="14">
        <v>45254</v>
      </c>
      <c r="J331" s="10">
        <v>285.5</v>
      </c>
      <c r="K331" s="10">
        <v>5.61</v>
      </c>
      <c r="L331" s="10">
        <v>193.4</v>
      </c>
      <c r="M331" s="16">
        <v>1601.655</v>
      </c>
      <c r="N331" s="16">
        <f t="shared" si="5"/>
        <v>1601.6550000000002</v>
      </c>
    </row>
    <row r="332" spans="3:14" x14ac:dyDescent="0.35">
      <c r="C332" s="10" t="s">
        <v>357</v>
      </c>
      <c r="D332" s="10" t="s">
        <v>17</v>
      </c>
      <c r="E332" s="10" t="s">
        <v>50</v>
      </c>
      <c r="F332" s="10" t="s">
        <v>13</v>
      </c>
      <c r="G332" s="10" t="s">
        <v>24</v>
      </c>
      <c r="H332" s="10" t="s">
        <v>28</v>
      </c>
      <c r="I332" s="14">
        <v>45255</v>
      </c>
      <c r="J332" s="10">
        <v>368</v>
      </c>
      <c r="K332" s="10">
        <v>153.91999999999999</v>
      </c>
      <c r="L332" s="10">
        <v>175.2</v>
      </c>
      <c r="M332" s="16">
        <v>56642.559999999998</v>
      </c>
      <c r="N332" s="16">
        <f t="shared" si="5"/>
        <v>56642.559999999998</v>
      </c>
    </row>
    <row r="333" spans="3:14" x14ac:dyDescent="0.35">
      <c r="C333" s="10" t="s">
        <v>358</v>
      </c>
      <c r="D333" s="10" t="s">
        <v>17</v>
      </c>
      <c r="E333" s="10" t="s">
        <v>50</v>
      </c>
      <c r="F333" s="10" t="s">
        <v>42</v>
      </c>
      <c r="G333" s="10" t="s">
        <v>24</v>
      </c>
      <c r="H333" s="10" t="s">
        <v>28</v>
      </c>
      <c r="I333" s="14">
        <v>45256</v>
      </c>
      <c r="J333" s="10">
        <v>99</v>
      </c>
      <c r="K333" s="10">
        <v>490.71</v>
      </c>
      <c r="L333" s="10">
        <v>375.07</v>
      </c>
      <c r="M333" s="16">
        <v>48580.29</v>
      </c>
      <c r="N333" s="16">
        <f t="shared" si="5"/>
        <v>48580.29</v>
      </c>
    </row>
    <row r="334" spans="3:14" x14ac:dyDescent="0.35">
      <c r="C334" s="10" t="s">
        <v>359</v>
      </c>
      <c r="D334" s="10" t="s">
        <v>22</v>
      </c>
      <c r="E334" s="10" t="s">
        <v>26</v>
      </c>
      <c r="F334" s="10" t="s">
        <v>42</v>
      </c>
      <c r="G334" s="10" t="s">
        <v>14</v>
      </c>
      <c r="H334" s="10" t="s">
        <v>15</v>
      </c>
      <c r="I334" s="14">
        <v>45257</v>
      </c>
      <c r="J334" s="10">
        <v>183</v>
      </c>
      <c r="K334" s="10">
        <v>240.07</v>
      </c>
      <c r="L334" s="10">
        <v>283</v>
      </c>
      <c r="M334" s="16">
        <v>43932.81</v>
      </c>
      <c r="N334" s="16">
        <f t="shared" si="5"/>
        <v>43932.81</v>
      </c>
    </row>
    <row r="335" spans="3:14" x14ac:dyDescent="0.35">
      <c r="C335" s="10" t="s">
        <v>360</v>
      </c>
      <c r="D335" s="10"/>
      <c r="E335" s="10" t="s">
        <v>18</v>
      </c>
      <c r="F335" s="10" t="s">
        <v>42</v>
      </c>
      <c r="G335" s="10" t="s">
        <v>24</v>
      </c>
      <c r="H335" s="10" t="s">
        <v>20</v>
      </c>
      <c r="I335" s="14">
        <v>45258</v>
      </c>
      <c r="J335" s="10">
        <v>131</v>
      </c>
      <c r="K335" s="10">
        <v>194.35</v>
      </c>
      <c r="L335" s="10">
        <v>253.21</v>
      </c>
      <c r="M335" s="16">
        <v>25459.85</v>
      </c>
      <c r="N335" s="16">
        <f t="shared" si="5"/>
        <v>25459.85</v>
      </c>
    </row>
    <row r="336" spans="3:14" x14ac:dyDescent="0.35">
      <c r="C336" s="10" t="s">
        <v>361</v>
      </c>
      <c r="D336" s="10" t="s">
        <v>17</v>
      </c>
      <c r="E336" s="10" t="s">
        <v>26</v>
      </c>
      <c r="F336" s="10" t="s">
        <v>23</v>
      </c>
      <c r="G336" s="10" t="s">
        <v>24</v>
      </c>
      <c r="H336" s="10" t="s">
        <v>20</v>
      </c>
      <c r="I336" s="14">
        <v>45259</v>
      </c>
      <c r="J336" s="10">
        <v>152</v>
      </c>
      <c r="K336" s="10">
        <v>64.319999999999993</v>
      </c>
      <c r="L336" s="10">
        <v>21.84</v>
      </c>
      <c r="M336" s="16">
        <v>9776.64</v>
      </c>
      <c r="N336" s="16">
        <f t="shared" si="5"/>
        <v>9776.64</v>
      </c>
    </row>
    <row r="337" spans="3:14" x14ac:dyDescent="0.35">
      <c r="C337" s="10" t="s">
        <v>362</v>
      </c>
      <c r="D337" s="10" t="s">
        <v>11</v>
      </c>
      <c r="E337" s="10" t="s">
        <v>31</v>
      </c>
      <c r="F337" s="10" t="s">
        <v>23</v>
      </c>
      <c r="G337" s="10" t="s">
        <v>24</v>
      </c>
      <c r="H337" s="10" t="s">
        <v>28</v>
      </c>
      <c r="I337" s="14">
        <v>45260</v>
      </c>
      <c r="J337" s="10">
        <v>491</v>
      </c>
      <c r="K337" s="10">
        <v>487.21</v>
      </c>
      <c r="L337" s="10">
        <v>361.76</v>
      </c>
      <c r="M337" s="16">
        <v>239220.11</v>
      </c>
      <c r="N337" s="16">
        <f t="shared" si="5"/>
        <v>239220.11</v>
      </c>
    </row>
    <row r="338" spans="3:14" x14ac:dyDescent="0.35">
      <c r="C338" s="10" t="s">
        <v>363</v>
      </c>
      <c r="D338" s="10" t="s">
        <v>48</v>
      </c>
      <c r="E338" s="10" t="s">
        <v>26</v>
      </c>
      <c r="F338" s="10" t="s">
        <v>42</v>
      </c>
      <c r="G338" s="10" t="s">
        <v>14</v>
      </c>
      <c r="H338" s="10" t="s">
        <v>15</v>
      </c>
      <c r="I338" s="14">
        <v>45261</v>
      </c>
      <c r="J338" s="10">
        <v>115</v>
      </c>
      <c r="K338" s="10">
        <v>14.91</v>
      </c>
      <c r="L338" s="10">
        <v>363.94</v>
      </c>
      <c r="M338" s="16">
        <v>1714.65</v>
      </c>
      <c r="N338" s="16">
        <f t="shared" si="5"/>
        <v>1714.65</v>
      </c>
    </row>
    <row r="339" spans="3:14" x14ac:dyDescent="0.35">
      <c r="C339" s="10" t="s">
        <v>364</v>
      </c>
      <c r="D339" s="10" t="s">
        <v>17</v>
      </c>
      <c r="E339" s="10" t="s">
        <v>26</v>
      </c>
      <c r="F339" s="10" t="s">
        <v>13</v>
      </c>
      <c r="G339" s="10" t="s">
        <v>24</v>
      </c>
      <c r="H339" s="10" t="s">
        <v>15</v>
      </c>
      <c r="I339" s="14">
        <v>45262</v>
      </c>
      <c r="J339" s="10">
        <v>384</v>
      </c>
      <c r="K339" s="10">
        <v>369.9</v>
      </c>
      <c r="L339" s="10">
        <v>312.52</v>
      </c>
      <c r="M339" s="16">
        <v>142041.60000000001</v>
      </c>
      <c r="N339" s="16">
        <f t="shared" si="5"/>
        <v>142041.59999999998</v>
      </c>
    </row>
    <row r="340" spans="3:14" x14ac:dyDescent="0.35">
      <c r="C340" s="10" t="s">
        <v>365</v>
      </c>
      <c r="D340" s="10" t="s">
        <v>22</v>
      </c>
      <c r="E340" s="10" t="s">
        <v>50</v>
      </c>
      <c r="F340" s="10" t="s">
        <v>19</v>
      </c>
      <c r="G340" s="10" t="s">
        <v>14</v>
      </c>
      <c r="H340" s="10" t="s">
        <v>20</v>
      </c>
      <c r="I340" s="14">
        <v>45263</v>
      </c>
      <c r="J340" s="10">
        <v>437</v>
      </c>
      <c r="K340" s="10">
        <v>385.46</v>
      </c>
      <c r="L340" s="10">
        <v>4.8</v>
      </c>
      <c r="M340" s="16">
        <v>168446.02</v>
      </c>
      <c r="N340" s="16">
        <f t="shared" si="5"/>
        <v>168446.02</v>
      </c>
    </row>
    <row r="341" spans="3:14" x14ac:dyDescent="0.35">
      <c r="C341" s="10" t="s">
        <v>366</v>
      </c>
      <c r="D341" s="10" t="s">
        <v>11</v>
      </c>
      <c r="E341" s="10" t="s">
        <v>50</v>
      </c>
      <c r="F341" s="10" t="s">
        <v>19</v>
      </c>
      <c r="G341" s="10" t="s">
        <v>24</v>
      </c>
      <c r="H341" s="10" t="s">
        <v>15</v>
      </c>
      <c r="I341" s="14">
        <v>45264</v>
      </c>
      <c r="J341" s="10">
        <v>314</v>
      </c>
      <c r="K341" s="10">
        <v>125.61</v>
      </c>
      <c r="L341" s="10">
        <v>24.8</v>
      </c>
      <c r="M341" s="16">
        <v>39441.54</v>
      </c>
      <c r="N341" s="16">
        <f t="shared" si="5"/>
        <v>39441.54</v>
      </c>
    </row>
    <row r="342" spans="3:14" x14ac:dyDescent="0.35">
      <c r="C342" s="10" t="s">
        <v>367</v>
      </c>
      <c r="D342" s="10" t="s">
        <v>17</v>
      </c>
      <c r="E342" s="10" t="s">
        <v>50</v>
      </c>
      <c r="F342" s="10" t="s">
        <v>27</v>
      </c>
      <c r="G342" s="10" t="s">
        <v>14</v>
      </c>
      <c r="H342" s="10" t="s">
        <v>15</v>
      </c>
      <c r="I342" s="14">
        <v>45265</v>
      </c>
      <c r="J342" s="10">
        <v>369</v>
      </c>
      <c r="K342" s="10">
        <v>337.42</v>
      </c>
      <c r="L342" s="10">
        <v>91.64</v>
      </c>
      <c r="M342" s="16">
        <v>124507.98</v>
      </c>
      <c r="N342" s="16">
        <f t="shared" si="5"/>
        <v>124507.98000000001</v>
      </c>
    </row>
    <row r="343" spans="3:14" x14ac:dyDescent="0.35">
      <c r="C343" s="10" t="s">
        <v>368</v>
      </c>
      <c r="D343" s="10" t="s">
        <v>17</v>
      </c>
      <c r="E343" s="10" t="s">
        <v>31</v>
      </c>
      <c r="F343" s="10" t="s">
        <v>13</v>
      </c>
      <c r="G343" s="10" t="s">
        <v>14</v>
      </c>
      <c r="H343" s="10" t="s">
        <v>28</v>
      </c>
      <c r="I343" s="14">
        <v>45266</v>
      </c>
      <c r="J343" s="10">
        <v>468</v>
      </c>
      <c r="K343" s="10">
        <v>51</v>
      </c>
      <c r="L343" s="10">
        <v>54.28</v>
      </c>
      <c r="M343" s="16">
        <v>23868</v>
      </c>
      <c r="N343" s="16">
        <f t="shared" si="5"/>
        <v>23868</v>
      </c>
    </row>
    <row r="344" spans="3:14" x14ac:dyDescent="0.35">
      <c r="C344" s="10" t="s">
        <v>369</v>
      </c>
      <c r="D344" s="10" t="s">
        <v>11</v>
      </c>
      <c r="E344" s="10" t="s">
        <v>50</v>
      </c>
      <c r="F344" s="10" t="s">
        <v>23</v>
      </c>
      <c r="G344" s="10" t="s">
        <v>24</v>
      </c>
      <c r="H344" s="10" t="s">
        <v>15</v>
      </c>
      <c r="I344" s="14">
        <v>45267</v>
      </c>
      <c r="J344" s="10">
        <v>326</v>
      </c>
      <c r="K344" s="10">
        <v>132.24</v>
      </c>
      <c r="L344" s="10">
        <v>160.74</v>
      </c>
      <c r="M344" s="16">
        <v>43110.240000000013</v>
      </c>
      <c r="N344" s="16">
        <f t="shared" si="5"/>
        <v>43110.240000000005</v>
      </c>
    </row>
    <row r="345" spans="3:14" x14ac:dyDescent="0.35">
      <c r="C345" s="10" t="s">
        <v>370</v>
      </c>
      <c r="D345" s="10" t="s">
        <v>17</v>
      </c>
      <c r="E345" s="10" t="s">
        <v>18</v>
      </c>
      <c r="F345" s="10" t="s">
        <v>42</v>
      </c>
      <c r="G345" s="10" t="s">
        <v>24</v>
      </c>
      <c r="H345" s="10" t="s">
        <v>28</v>
      </c>
      <c r="I345" s="14">
        <v>45268</v>
      </c>
      <c r="J345" s="10">
        <v>460</v>
      </c>
      <c r="K345" s="10">
        <v>395.01</v>
      </c>
      <c r="L345" s="10">
        <v>369.2</v>
      </c>
      <c r="M345" s="16">
        <v>181704.6</v>
      </c>
      <c r="N345" s="16">
        <f t="shared" si="5"/>
        <v>181704.6</v>
      </c>
    </row>
    <row r="346" spans="3:14" x14ac:dyDescent="0.35">
      <c r="C346" s="10" t="s">
        <v>371</v>
      </c>
      <c r="D346" s="10" t="s">
        <v>11</v>
      </c>
      <c r="E346" s="10" t="s">
        <v>12</v>
      </c>
      <c r="F346" s="10" t="s">
        <v>27</v>
      </c>
      <c r="G346" s="10" t="s">
        <v>14</v>
      </c>
      <c r="H346" s="10" t="s">
        <v>20</v>
      </c>
      <c r="I346" s="14">
        <v>45269</v>
      </c>
      <c r="J346" s="10">
        <v>132</v>
      </c>
      <c r="K346" s="10">
        <v>433.02</v>
      </c>
      <c r="L346" s="10">
        <v>189.88</v>
      </c>
      <c r="M346" s="16">
        <v>57158.64</v>
      </c>
      <c r="N346" s="16">
        <f t="shared" si="5"/>
        <v>57158.64</v>
      </c>
    </row>
    <row r="347" spans="3:14" x14ac:dyDescent="0.35">
      <c r="C347" s="10" t="s">
        <v>372</v>
      </c>
      <c r="D347" s="10" t="s">
        <v>48</v>
      </c>
      <c r="E347" s="10" t="s">
        <v>18</v>
      </c>
      <c r="F347" s="10" t="s">
        <v>19</v>
      </c>
      <c r="G347" s="10" t="s">
        <v>24</v>
      </c>
      <c r="H347" s="10" t="s">
        <v>15</v>
      </c>
      <c r="I347" s="14">
        <v>45270</v>
      </c>
      <c r="J347" s="10">
        <v>399</v>
      </c>
      <c r="K347" s="10">
        <v>306.2</v>
      </c>
      <c r="L347" s="10">
        <v>7.33</v>
      </c>
      <c r="M347" s="16">
        <v>122173.8</v>
      </c>
      <c r="N347" s="16">
        <f t="shared" si="5"/>
        <v>122173.79999999999</v>
      </c>
    </row>
    <row r="348" spans="3:14" x14ac:dyDescent="0.35">
      <c r="C348" s="10" t="s">
        <v>373</v>
      </c>
      <c r="D348" s="10" t="s">
        <v>11</v>
      </c>
      <c r="E348" s="10" t="s">
        <v>18</v>
      </c>
      <c r="F348" s="10" t="s">
        <v>23</v>
      </c>
      <c r="G348" s="10" t="s">
        <v>14</v>
      </c>
      <c r="H348" s="10" t="s">
        <v>20</v>
      </c>
      <c r="I348" s="14">
        <v>45271</v>
      </c>
      <c r="J348" s="10">
        <v>18</v>
      </c>
      <c r="K348" s="10">
        <v>255.89</v>
      </c>
      <c r="L348" s="10">
        <v>114.53</v>
      </c>
      <c r="M348" s="16">
        <v>4606.0200000000004</v>
      </c>
      <c r="N348" s="16">
        <f t="shared" si="5"/>
        <v>4606.0199999999995</v>
      </c>
    </row>
    <row r="349" spans="3:14" x14ac:dyDescent="0.35">
      <c r="C349" s="10" t="s">
        <v>374</v>
      </c>
      <c r="D349" s="10" t="s">
        <v>11</v>
      </c>
      <c r="E349" s="10" t="s">
        <v>50</v>
      </c>
      <c r="F349" s="10" t="s">
        <v>23</v>
      </c>
      <c r="G349" s="10" t="s">
        <v>14</v>
      </c>
      <c r="H349" s="10" t="s">
        <v>20</v>
      </c>
      <c r="I349" s="14">
        <v>45272</v>
      </c>
      <c r="J349" s="10">
        <v>271</v>
      </c>
      <c r="K349" s="10">
        <v>83.86</v>
      </c>
      <c r="L349" s="10">
        <v>19.75</v>
      </c>
      <c r="M349" s="16">
        <v>22726.06</v>
      </c>
      <c r="N349" s="16">
        <f t="shared" si="5"/>
        <v>22726.06</v>
      </c>
    </row>
    <row r="350" spans="3:14" x14ac:dyDescent="0.35">
      <c r="C350" s="10" t="s">
        <v>375</v>
      </c>
      <c r="D350" s="10"/>
      <c r="E350" s="10" t="s">
        <v>12</v>
      </c>
      <c r="F350" s="10" t="s">
        <v>42</v>
      </c>
      <c r="G350" s="10" t="s">
        <v>14</v>
      </c>
      <c r="H350" s="10" t="s">
        <v>15</v>
      </c>
      <c r="I350" s="14">
        <v>45273</v>
      </c>
      <c r="J350" s="10">
        <v>82</v>
      </c>
      <c r="K350" s="10">
        <v>36.24</v>
      </c>
      <c r="L350" s="10">
        <v>16.440000000000001</v>
      </c>
      <c r="M350" s="16">
        <v>2971.68</v>
      </c>
      <c r="N350" s="16">
        <f t="shared" si="5"/>
        <v>2971.6800000000003</v>
      </c>
    </row>
    <row r="351" spans="3:14" x14ac:dyDescent="0.35">
      <c r="C351" s="10" t="s">
        <v>376</v>
      </c>
      <c r="D351" s="10" t="s">
        <v>17</v>
      </c>
      <c r="E351" s="10" t="s">
        <v>12</v>
      </c>
      <c r="F351" s="10" t="s">
        <v>19</v>
      </c>
      <c r="G351" s="10" t="s">
        <v>14</v>
      </c>
      <c r="H351" s="10" t="s">
        <v>15</v>
      </c>
      <c r="I351" s="14">
        <v>45274</v>
      </c>
      <c r="J351" s="10">
        <v>368</v>
      </c>
      <c r="K351" s="10">
        <v>63.24</v>
      </c>
      <c r="L351" s="10">
        <v>111.74</v>
      </c>
      <c r="M351" s="16">
        <v>23272.32</v>
      </c>
      <c r="N351" s="16">
        <f t="shared" si="5"/>
        <v>23272.32</v>
      </c>
    </row>
    <row r="352" spans="3:14" x14ac:dyDescent="0.35">
      <c r="C352" s="10" t="s">
        <v>377</v>
      </c>
      <c r="D352" s="10" t="s">
        <v>17</v>
      </c>
      <c r="E352" s="10" t="s">
        <v>12</v>
      </c>
      <c r="F352" s="10" t="s">
        <v>13</v>
      </c>
      <c r="G352" s="10" t="s">
        <v>14</v>
      </c>
      <c r="H352" s="10" t="s">
        <v>20</v>
      </c>
      <c r="I352" s="14">
        <v>45275</v>
      </c>
      <c r="J352" s="10">
        <v>232</v>
      </c>
      <c r="K352" s="10">
        <v>117.54</v>
      </c>
      <c r="L352" s="10">
        <v>111.69</v>
      </c>
      <c r="M352" s="16">
        <v>27269.279999999999</v>
      </c>
      <c r="N352" s="16">
        <f t="shared" si="5"/>
        <v>27269.280000000002</v>
      </c>
    </row>
    <row r="353" spans="3:14" x14ac:dyDescent="0.35">
      <c r="C353" s="10" t="s">
        <v>378</v>
      </c>
      <c r="D353" s="10" t="s">
        <v>11</v>
      </c>
      <c r="E353" s="10" t="s">
        <v>31</v>
      </c>
      <c r="F353" s="10" t="s">
        <v>23</v>
      </c>
      <c r="G353" s="10" t="s">
        <v>24</v>
      </c>
      <c r="H353" s="10" t="s">
        <v>15</v>
      </c>
      <c r="I353" s="14">
        <v>45276</v>
      </c>
      <c r="J353" s="10">
        <v>425</v>
      </c>
      <c r="K353" s="10">
        <v>174.13</v>
      </c>
      <c r="L353" s="10">
        <v>315.27999999999997</v>
      </c>
      <c r="M353" s="16">
        <v>74005.25</v>
      </c>
      <c r="N353" s="16">
        <f t="shared" si="5"/>
        <v>74005.25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BF86-66AE-4F95-8672-F954ACCAB7F2}">
  <dimension ref="A1:C14"/>
  <sheetViews>
    <sheetView workbookViewId="0">
      <selection activeCell="B4" sqref="B4"/>
    </sheetView>
  </sheetViews>
  <sheetFormatPr defaultRowHeight="14.5" x14ac:dyDescent="0.35"/>
  <cols>
    <col min="1" max="1" width="18.36328125" bestFit="1" customWidth="1"/>
    <col min="2" max="2" width="49.6328125" bestFit="1" customWidth="1"/>
  </cols>
  <sheetData>
    <row r="1" spans="1:3" ht="23" x14ac:dyDescent="0.5">
      <c r="A1" s="6" t="s">
        <v>398</v>
      </c>
      <c r="B1" s="19" t="s">
        <v>399</v>
      </c>
    </row>
    <row r="6" spans="1:3" x14ac:dyDescent="0.35">
      <c r="C6" t="s">
        <v>400</v>
      </c>
    </row>
    <row r="7" spans="1:3" x14ac:dyDescent="0.35">
      <c r="C7" s="17"/>
    </row>
    <row r="8" spans="1:3" x14ac:dyDescent="0.35">
      <c r="C8" s="18" t="s">
        <v>401</v>
      </c>
    </row>
    <row r="9" spans="1:3" x14ac:dyDescent="0.35">
      <c r="C9" s="18" t="s">
        <v>402</v>
      </c>
    </row>
    <row r="10" spans="1:3" x14ac:dyDescent="0.35">
      <c r="C10" s="18" t="s">
        <v>405</v>
      </c>
    </row>
    <row r="12" spans="1:3" x14ac:dyDescent="0.35">
      <c r="C12" t="s">
        <v>403</v>
      </c>
    </row>
    <row r="14" spans="1:3" x14ac:dyDescent="0.35">
      <c r="C14" t="s">
        <v>404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702F-C237-4BB8-9A4E-3409C4B212DC}">
  <dimension ref="A1:B4"/>
  <sheetViews>
    <sheetView workbookViewId="0">
      <selection activeCell="A4" sqref="A4"/>
    </sheetView>
  </sheetViews>
  <sheetFormatPr defaultRowHeight="14.5" x14ac:dyDescent="0.35"/>
  <cols>
    <col min="1" max="1" width="18.36328125" bestFit="1" customWidth="1"/>
    <col min="2" max="2" width="58.08984375" bestFit="1" customWidth="1"/>
  </cols>
  <sheetData>
    <row r="1" spans="1:2" ht="23" x14ac:dyDescent="0.5">
      <c r="A1" s="6" t="s">
        <v>406</v>
      </c>
      <c r="B1" s="19" t="s">
        <v>407</v>
      </c>
    </row>
    <row r="4" spans="1:2" ht="37" x14ac:dyDescent="0.45">
      <c r="A4" s="20" t="s">
        <v>391</v>
      </c>
      <c r="B4" s="21" t="s">
        <v>408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6057-C971-4EB9-BBB3-1BAE0F96C753}">
  <dimension ref="A1:H8"/>
  <sheetViews>
    <sheetView workbookViewId="0">
      <selection activeCell="B1" sqref="B1"/>
    </sheetView>
  </sheetViews>
  <sheetFormatPr defaultRowHeight="14.5" x14ac:dyDescent="0.35"/>
  <cols>
    <col min="1" max="1" width="18.36328125" bestFit="1" customWidth="1"/>
    <col min="2" max="2" width="56.453125" bestFit="1" customWidth="1"/>
    <col min="4" max="4" width="10" bestFit="1" customWidth="1"/>
    <col min="5" max="6" width="12" bestFit="1" customWidth="1"/>
    <col min="7" max="7" width="11" bestFit="1" customWidth="1"/>
    <col min="8" max="8" width="12" bestFit="1" customWidth="1"/>
  </cols>
  <sheetData>
    <row r="1" spans="1:8" ht="23" x14ac:dyDescent="0.5">
      <c r="A1" s="6" t="s">
        <v>409</v>
      </c>
      <c r="B1" s="19" t="s">
        <v>410</v>
      </c>
    </row>
    <row r="3" spans="1:8" x14ac:dyDescent="0.35">
      <c r="D3" s="13" t="s">
        <v>3</v>
      </c>
      <c r="E3" s="13" t="s">
        <v>11</v>
      </c>
      <c r="F3" s="13" t="s">
        <v>22</v>
      </c>
      <c r="G3" s="13" t="s">
        <v>48</v>
      </c>
      <c r="H3" s="13" t="s">
        <v>17</v>
      </c>
    </row>
    <row r="4" spans="1:8" x14ac:dyDescent="0.35">
      <c r="D4" s="13" t="s">
        <v>13</v>
      </c>
      <c r="E4" s="10">
        <v>888153.51</v>
      </c>
      <c r="F4" s="10">
        <v>949191.27</v>
      </c>
      <c r="G4" s="10">
        <v>1145872.8400000001</v>
      </c>
      <c r="H4" s="10">
        <v>1799862.31</v>
      </c>
    </row>
    <row r="5" spans="1:8" x14ac:dyDescent="0.35">
      <c r="D5" s="13" t="s">
        <v>23</v>
      </c>
      <c r="E5" s="10">
        <v>1616329.66</v>
      </c>
      <c r="F5" s="10">
        <v>618188.36</v>
      </c>
      <c r="G5" s="10">
        <v>496502.89</v>
      </c>
      <c r="H5" s="10">
        <v>993067.02500000002</v>
      </c>
    </row>
    <row r="6" spans="1:8" x14ac:dyDescent="0.35">
      <c r="D6" s="13" t="s">
        <v>42</v>
      </c>
      <c r="E6" s="10">
        <v>946545.17500000005</v>
      </c>
      <c r="F6" s="10">
        <v>950484.27</v>
      </c>
      <c r="G6" s="10">
        <v>1047855.21</v>
      </c>
      <c r="H6" s="10">
        <v>1410990.425</v>
      </c>
    </row>
    <row r="7" spans="1:8" x14ac:dyDescent="0.35">
      <c r="D7" s="13" t="s">
        <v>19</v>
      </c>
      <c r="E7" s="10">
        <v>865283.7</v>
      </c>
      <c r="F7" s="10">
        <v>1657232.625</v>
      </c>
      <c r="G7" s="10">
        <v>665965.98499999999</v>
      </c>
      <c r="H7" s="10">
        <v>829160.81</v>
      </c>
    </row>
    <row r="8" spans="1:8" x14ac:dyDescent="0.35">
      <c r="D8" s="13" t="s">
        <v>27</v>
      </c>
      <c r="E8" s="10">
        <v>1686602.0349999999</v>
      </c>
      <c r="F8" s="10">
        <v>731274.15</v>
      </c>
      <c r="G8" s="10">
        <v>832820.25</v>
      </c>
      <c r="H8" s="10">
        <v>990930.75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06E5-394D-46F7-8898-FB48AB5E7125}">
  <dimension ref="A1:B1"/>
  <sheetViews>
    <sheetView showGridLines="0" workbookViewId="0">
      <selection activeCell="B1" sqref="B1"/>
    </sheetView>
  </sheetViews>
  <sheetFormatPr defaultRowHeight="14.5" x14ac:dyDescent="0.35"/>
  <cols>
    <col min="1" max="1" width="18.36328125" bestFit="1" customWidth="1"/>
    <col min="2" max="2" width="51.36328125" customWidth="1"/>
  </cols>
  <sheetData>
    <row r="1" spans="1:2" ht="23" x14ac:dyDescent="0.5">
      <c r="A1" s="6" t="s">
        <v>411</v>
      </c>
      <c r="B1" s="19" t="s">
        <v>412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2DA9-51BB-4383-AE1B-1A4059CB7347}">
  <dimension ref="A1:D10"/>
  <sheetViews>
    <sheetView tabSelected="1" workbookViewId="0">
      <selection activeCell="D9" sqref="D9"/>
    </sheetView>
  </sheetViews>
  <sheetFormatPr defaultRowHeight="14.5" x14ac:dyDescent="0.35"/>
  <cols>
    <col min="1" max="1" width="19.08984375" bestFit="1" customWidth="1"/>
    <col min="2" max="2" width="36.453125" bestFit="1" customWidth="1"/>
    <col min="4" max="4" width="58" bestFit="1" customWidth="1"/>
  </cols>
  <sheetData>
    <row r="1" spans="1:4" ht="23" x14ac:dyDescent="0.5">
      <c r="A1" s="6" t="s">
        <v>413</v>
      </c>
      <c r="B1" s="19" t="s">
        <v>414</v>
      </c>
    </row>
    <row r="5" spans="1:4" x14ac:dyDescent="0.35">
      <c r="D5" s="7" t="s">
        <v>415</v>
      </c>
    </row>
    <row r="6" spans="1:4" x14ac:dyDescent="0.35">
      <c r="D6" s="17"/>
    </row>
    <row r="7" spans="1:4" x14ac:dyDescent="0.35">
      <c r="D7" s="18" t="s">
        <v>416</v>
      </c>
    </row>
    <row r="8" spans="1:4" x14ac:dyDescent="0.35">
      <c r="D8" s="18" t="s">
        <v>417</v>
      </c>
    </row>
    <row r="9" spans="1:4" x14ac:dyDescent="0.35">
      <c r="D9" s="18" t="s">
        <v>418</v>
      </c>
    </row>
    <row r="10" spans="1:4" x14ac:dyDescent="0.35">
      <c r="D10" s="18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Data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Khandelwal</dc:creator>
  <cp:lastModifiedBy>Ravi Grover</cp:lastModifiedBy>
  <dcterms:created xsi:type="dcterms:W3CDTF">2025-12-24T12:51:37Z</dcterms:created>
  <dcterms:modified xsi:type="dcterms:W3CDTF">2026-01-06T15:15:45Z</dcterms:modified>
</cp:coreProperties>
</file>